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abibachour/Library/Containers/com.apple.mail/Data/Library/Mail Downloads/8BFA9E86-72E9-4507-82DF-D43B6FD1F4D7/"/>
    </mc:Choice>
  </mc:AlternateContent>
  <xr:revisionPtr revIDLastSave="0" documentId="8_{2BE1E381-3A53-5546-95AE-A4A5C19F6CFC}" xr6:coauthVersionLast="47" xr6:coauthVersionMax="47" xr10:uidLastSave="{00000000-0000-0000-0000-000000000000}"/>
  <bookViews>
    <workbookView xWindow="0" yWindow="780" windowWidth="34200" windowHeight="19960" tabRatio="500" xr2:uid="{00000000-000D-0000-FFFF-FFFF00000000}"/>
  </bookViews>
  <sheets>
    <sheet name="Summary" sheetId="1" r:id="rId1"/>
    <sheet name="Pre-Production" sheetId="2" r:id="rId2"/>
    <sheet name="Release Show" sheetId="3" r:id="rId3"/>
    <sheet name="Regional Tour" sheetId="4" r:id="rId4"/>
    <sheet name="International Tour" sheetId="5" r:id="rId5"/>
    <sheet name="Major Show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4" i="6" l="1"/>
  <c r="E63" i="6"/>
  <c r="E62" i="6"/>
  <c r="E61" i="6"/>
  <c r="E60" i="6"/>
  <c r="E59" i="6"/>
  <c r="E58" i="6"/>
  <c r="H57" i="6"/>
  <c r="E57" i="6"/>
  <c r="E65" i="6" s="1"/>
  <c r="E53" i="6"/>
  <c r="E52" i="6"/>
  <c r="E51" i="6"/>
  <c r="E50" i="6"/>
  <c r="E49" i="6"/>
  <c r="E48" i="6"/>
  <c r="E47" i="6"/>
  <c r="E46" i="6"/>
  <c r="E54" i="6" s="1"/>
  <c r="E42" i="6"/>
  <c r="E41" i="6"/>
  <c r="E43" i="6" s="1"/>
  <c r="H40" i="6"/>
  <c r="E40" i="6"/>
  <c r="E39" i="6"/>
  <c r="E38" i="6"/>
  <c r="E37" i="6"/>
  <c r="E36" i="6"/>
  <c r="E32" i="6"/>
  <c r="E29" i="6"/>
  <c r="E28" i="6"/>
  <c r="H27" i="6"/>
  <c r="E27" i="6"/>
  <c r="E26" i="6"/>
  <c r="H25" i="6"/>
  <c r="H28" i="6" s="1"/>
  <c r="E25" i="6"/>
  <c r="E24" i="6"/>
  <c r="E30" i="6" s="1"/>
  <c r="H21" i="6"/>
  <c r="E20" i="6"/>
  <c r="E19" i="6"/>
  <c r="E18" i="6"/>
  <c r="H17" i="6"/>
  <c r="E17" i="6"/>
  <c r="E16" i="6"/>
  <c r="E15" i="6"/>
  <c r="E21" i="6" s="1"/>
  <c r="C7" i="6"/>
  <c r="F110" i="5"/>
  <c r="F109" i="5"/>
  <c r="F108" i="5"/>
  <c r="F107" i="5"/>
  <c r="F111" i="5" s="1"/>
  <c r="E100" i="5"/>
  <c r="E94" i="5"/>
  <c r="E102" i="5" s="1"/>
  <c r="E93" i="5"/>
  <c r="E92" i="5"/>
  <c r="D75" i="5"/>
  <c r="D66" i="5"/>
  <c r="D57" i="5"/>
  <c r="D44" i="5"/>
  <c r="D43" i="5"/>
  <c r="D42" i="5"/>
  <c r="D41" i="5"/>
  <c r="D40" i="5"/>
  <c r="D39" i="5"/>
  <c r="D45" i="5" s="1"/>
  <c r="D32" i="5"/>
  <c r="D31" i="5"/>
  <c r="D35" i="5" s="1"/>
  <c r="D30" i="5"/>
  <c r="D29" i="5"/>
  <c r="D28" i="5"/>
  <c r="D27" i="5"/>
  <c r="D34" i="5" s="1"/>
  <c r="D23" i="5"/>
  <c r="D21" i="5"/>
  <c r="D22" i="5" s="1"/>
  <c r="D24" i="5" s="1"/>
  <c r="D20" i="5"/>
  <c r="D11" i="5"/>
  <c r="F25" i="1" s="1"/>
  <c r="C11" i="5"/>
  <c r="E25" i="1" s="1"/>
  <c r="C7" i="5"/>
  <c r="F139" i="4"/>
  <c r="F138" i="4"/>
  <c r="F110" i="4"/>
  <c r="F109" i="4"/>
  <c r="F108" i="4"/>
  <c r="F107" i="4"/>
  <c r="F111" i="4" s="1"/>
  <c r="C100" i="4"/>
  <c r="C94" i="4"/>
  <c r="C102" i="4" s="1"/>
  <c r="C92" i="4"/>
  <c r="D75" i="4"/>
  <c r="D66" i="4"/>
  <c r="C63" i="4"/>
  <c r="D57" i="4"/>
  <c r="D44" i="4"/>
  <c r="D43" i="4"/>
  <c r="D42" i="4"/>
  <c r="D41" i="4"/>
  <c r="D40" i="4"/>
  <c r="D39" i="4"/>
  <c r="D45" i="4" s="1"/>
  <c r="D35" i="4"/>
  <c r="D34" i="4"/>
  <c r="D32" i="4"/>
  <c r="D31" i="4"/>
  <c r="D30" i="4"/>
  <c r="D29" i="4"/>
  <c r="D28" i="4"/>
  <c r="D27" i="4"/>
  <c r="D33" i="4" s="1"/>
  <c r="D36" i="4" s="1"/>
  <c r="D23" i="4"/>
  <c r="D22" i="4"/>
  <c r="D24" i="4" s="1"/>
  <c r="D21" i="4"/>
  <c r="D20" i="4"/>
  <c r="D11" i="4"/>
  <c r="C11" i="4"/>
  <c r="C7" i="4"/>
  <c r="E88" i="2"/>
  <c r="E70" i="2"/>
  <c r="C69" i="2"/>
  <c r="E69" i="2" s="1"/>
  <c r="E71" i="2" s="1"/>
  <c r="E68" i="2"/>
  <c r="E67" i="2"/>
  <c r="E66" i="2"/>
  <c r="E65" i="2"/>
  <c r="E61" i="2"/>
  <c r="E60" i="2"/>
  <c r="E59" i="2"/>
  <c r="E58" i="2"/>
  <c r="E57" i="2"/>
  <c r="E56" i="2"/>
  <c r="E55" i="2"/>
  <c r="E62" i="2" s="1"/>
  <c r="E51" i="2"/>
  <c r="E50" i="2"/>
  <c r="E49" i="2"/>
  <c r="E48" i="2"/>
  <c r="E47" i="2"/>
  <c r="E46" i="2"/>
  <c r="E45" i="2"/>
  <c r="E44" i="2"/>
  <c r="E43" i="2"/>
  <c r="E42" i="2"/>
  <c r="E52" i="2" s="1"/>
  <c r="E38" i="2"/>
  <c r="E36" i="2"/>
  <c r="E37" i="2" s="1"/>
  <c r="E35" i="2"/>
  <c r="E34" i="2"/>
  <c r="E33" i="2"/>
  <c r="E32" i="2"/>
  <c r="E31" i="2"/>
  <c r="E30" i="2"/>
  <c r="E29" i="2"/>
  <c r="E25" i="2"/>
  <c r="E24" i="2"/>
  <c r="E22" i="2"/>
  <c r="E21" i="2"/>
  <c r="E20" i="2"/>
  <c r="E19" i="2"/>
  <c r="E18" i="2"/>
  <c r="E17" i="2"/>
  <c r="E16" i="2"/>
  <c r="E23" i="2" s="1"/>
  <c r="E26" i="2" s="1"/>
  <c r="D6" i="2"/>
  <c r="F22" i="1" s="1"/>
  <c r="C6" i="2"/>
  <c r="E22" i="1" s="1"/>
  <c r="C2" i="2"/>
  <c r="D26" i="1"/>
  <c r="C26" i="1"/>
  <c r="D25" i="1"/>
  <c r="C25" i="1"/>
  <c r="F24" i="1"/>
  <c r="E24" i="1"/>
  <c r="D24" i="1"/>
  <c r="C24" i="1"/>
  <c r="D23" i="1"/>
  <c r="C23" i="1"/>
  <c r="D22" i="1"/>
  <c r="C22" i="1"/>
  <c r="F13" i="1"/>
  <c r="F15" i="1" s="1"/>
  <c r="C13" i="1"/>
  <c r="F12" i="1"/>
  <c r="C12" i="1"/>
  <c r="F11" i="1"/>
  <c r="E11" i="1"/>
  <c r="C11" i="1"/>
  <c r="G10" i="1"/>
  <c r="F10" i="1"/>
  <c r="D10" i="1"/>
  <c r="C10" i="1"/>
  <c r="E9" i="1"/>
  <c r="C9" i="1"/>
  <c r="E64" i="3"/>
  <c r="E63" i="3"/>
  <c r="E62" i="3"/>
  <c r="E61" i="3"/>
  <c r="E60" i="3"/>
  <c r="E59" i="3"/>
  <c r="K58" i="3"/>
  <c r="E58" i="3"/>
  <c r="K57" i="3"/>
  <c r="E57" i="3"/>
  <c r="K56" i="3"/>
  <c r="K55" i="3"/>
  <c r="K59" i="3" s="1"/>
  <c r="E52" i="3"/>
  <c r="E51" i="3"/>
  <c r="E50" i="3"/>
  <c r="E49" i="3"/>
  <c r="H47" i="3"/>
  <c r="E44" i="3"/>
  <c r="E43" i="3"/>
  <c r="E42" i="3"/>
  <c r="E41" i="3"/>
  <c r="E40" i="3"/>
  <c r="E39" i="3"/>
  <c r="E34" i="3"/>
  <c r="E33" i="3"/>
  <c r="E32" i="3"/>
  <c r="E36" i="3" s="1"/>
  <c r="E46" i="3" s="1"/>
  <c r="E54" i="3" s="1"/>
  <c r="E31" i="3"/>
  <c r="E30" i="3"/>
  <c r="E29" i="3"/>
  <c r="H28" i="3"/>
  <c r="E10" i="1" s="1"/>
  <c r="E28" i="3"/>
  <c r="E27" i="3"/>
  <c r="H26" i="3"/>
  <c r="H51" i="3" s="1"/>
  <c r="H22" i="3"/>
  <c r="H30" i="3" s="1"/>
  <c r="E21" i="3"/>
  <c r="E19" i="3"/>
  <c r="E18" i="3"/>
  <c r="H17" i="3"/>
  <c r="E17" i="3"/>
  <c r="E16" i="3"/>
  <c r="E15" i="3"/>
  <c r="E22" i="3" s="1"/>
  <c r="C7" i="3"/>
  <c r="D80" i="5" l="1"/>
  <c r="D79" i="5"/>
  <c r="D46" i="5"/>
  <c r="D48" i="5" s="1"/>
  <c r="D78" i="5" s="1"/>
  <c r="D47" i="5"/>
  <c r="E12" i="1"/>
  <c r="E69" i="3"/>
  <c r="E65" i="3"/>
  <c r="H31" i="6"/>
  <c r="H34" i="6" s="1"/>
  <c r="H35" i="6"/>
  <c r="E13" i="1"/>
  <c r="E15" i="1" s="1"/>
  <c r="D79" i="4"/>
  <c r="D80" i="4"/>
  <c r="D47" i="4"/>
  <c r="D46" i="4"/>
  <c r="D48" i="4" s="1"/>
  <c r="H31" i="3"/>
  <c r="H34" i="3" s="1"/>
  <c r="H37" i="3" s="1"/>
  <c r="E31" i="6"/>
  <c r="E33" i="6" s="1"/>
  <c r="E69" i="6" s="1"/>
  <c r="E39" i="2"/>
  <c r="E75" i="2" s="1"/>
  <c r="D33" i="5"/>
  <c r="D36" i="5" s="1"/>
  <c r="D85" i="5" s="1"/>
  <c r="D9" i="1" l="1"/>
  <c r="E77" i="2"/>
  <c r="E92" i="2" s="1"/>
  <c r="G9" i="1" s="1"/>
  <c r="D12" i="1"/>
  <c r="E116" i="5"/>
  <c r="G12" i="1" s="1"/>
  <c r="H47" i="6"/>
  <c r="D13" i="1"/>
  <c r="H48" i="6"/>
  <c r="D78" i="4"/>
  <c r="D85" i="4" s="1"/>
  <c r="H44" i="6"/>
  <c r="H43" i="6"/>
  <c r="H59" i="6"/>
  <c r="G13" i="1" s="1"/>
  <c r="H38" i="3"/>
  <c r="H43" i="3" s="1"/>
  <c r="K65" i="3" s="1"/>
  <c r="H62" i="3" s="1"/>
  <c r="D11" i="1" l="1"/>
  <c r="E116" i="4"/>
  <c r="G11" i="1" s="1"/>
  <c r="G15" i="1"/>
  <c r="H9" i="1"/>
  <c r="H10" i="1" s="1"/>
  <c r="H11" i="1" s="1"/>
  <c r="H12" i="1" s="1"/>
  <c r="H13" i="1" s="1"/>
  <c r="H15" i="1" s="1"/>
  <c r="D15" i="1"/>
</calcChain>
</file>

<file path=xl/sharedStrings.xml><?xml version="1.0" encoding="utf-8"?>
<sst xmlns="http://schemas.openxmlformats.org/spreadsheetml/2006/main" count="519" uniqueCount="267">
  <si>
    <t>TOUR BUDGET  ·  SUMMARY</t>
  </si>
  <si>
    <t>All figures linked directly to individual sheets  ·  Fill each tab → Summary updates automatically</t>
  </si>
  <si>
    <t>Artist name:</t>
  </si>
  <si>
    <t>Tour name:</t>
  </si>
  <si>
    <t>Currency:</t>
  </si>
  <si>
    <t>OPERATION</t>
  </si>
  <si>
    <t>PERIOD</t>
  </si>
  <si>
    <t>TOTAL COST</t>
  </si>
  <si>
    <t>TOTAL REVENUES</t>
  </si>
  <si>
    <t>MERCH MARGIN</t>
  </si>
  <si>
    <t>NET RESULT</t>
  </si>
  <si>
    <t>CUMULATIVE NET RESULT</t>
  </si>
  <si>
    <t>Pre-Production</t>
  </si>
  <si>
    <t>Release Show</t>
  </si>
  <si>
    <t>Regional Tour</t>
  </si>
  <si>
    <t>International Tour</t>
  </si>
  <si>
    <t>Major Show</t>
  </si>
  <si>
    <t>TOTAL</t>
  </si>
  <si>
    <t>PROJECT TIMELINE</t>
  </si>
  <si>
    <t>PHASE</t>
  </si>
  <si>
    <t>START DATE</t>
  </si>
  <si>
    <t>END DATE</t>
  </si>
  <si>
    <t>DURATION (days)</t>
  </si>
  <si>
    <t>DURATION (months)</t>
  </si>
  <si>
    <t>TOTAL PROJECT DURATION</t>
  </si>
  <si>
    <t>★ Colour code:  Blue = input  ·  Black = formula  ·  ★ = key assumption to define with group  ·  All amounts in JOD (changeable)</t>
  </si>
  <si>
    <t>PRE-PRODUCTION  ·  REHEARSALS &amp; CREATIVE RESIDENCY</t>
  </si>
  <si>
    <t>Artist:</t>
  </si>
  <si>
    <t>Start date:</t>
  </si>
  <si>
    <t>End date:</t>
  </si>
  <si>
    <t>Duration:</t>
  </si>
  <si>
    <t>Nb Rehearsal Days:</t>
  </si>
  <si>
    <t>Nb Residency Days:</t>
  </si>
  <si>
    <t>★  EMPLOYER SOCIAL CHARGES RATE  (define with group)</t>
  </si>
  <si>
    <t>★  FOREIGN ARTIST WITHHOLDING TAX RATE  (define with group)</t>
  </si>
  <si>
    <t>★  MANAGEMENT COMMISSION RATE  (define with group)</t>
  </si>
  <si>
    <t>POSITION</t>
  </si>
  <si>
    <t>FEE / DAY</t>
  </si>
  <si>
    <t>NB DAYS</t>
  </si>
  <si>
    <t>Artist Bill</t>
  </si>
  <si>
    <t>Singer</t>
  </si>
  <si>
    <t>Keys</t>
  </si>
  <si>
    <t>Drummer</t>
  </si>
  <si>
    <t>Bass</t>
  </si>
  <si>
    <t>Musician (foreign artist)</t>
  </si>
  <si>
    <t>Subtotal gross fees</t>
  </si>
  <si>
    <t>Employer social charges  (★)  — local musicians</t>
  </si>
  <si>
    <t>Withholding tax  (★)  — foreign artists</t>
  </si>
  <si>
    <t>TOTAL ARTIST BILL PAYROLL</t>
  </si>
  <si>
    <t>Technical Crew</t>
  </si>
  <si>
    <t>General Stage Manager</t>
  </si>
  <si>
    <t>Sound Engineer (FOH)</t>
  </si>
  <si>
    <t>Lighting Designer</t>
  </si>
  <si>
    <t>Backline Tech</t>
  </si>
  <si>
    <t>Wardrobe / Styling</t>
  </si>
  <si>
    <t>Roads / Crew</t>
  </si>
  <si>
    <t>Runner</t>
  </si>
  <si>
    <t>Employer social charges  (★)</t>
  </si>
  <si>
    <t>Withholding tax  (★)  — foreign tech (if any)</t>
  </si>
  <si>
    <t>TOTAL TECHNICAL CREW PAYROLL</t>
  </si>
  <si>
    <t>Creative &amp; Technical Costs</t>
  </si>
  <si>
    <t>Studio / Rehearsal Room Rental</t>
  </si>
  <si>
    <t>Residency Venue</t>
  </si>
  <si>
    <t>Sound Equipment Rental</t>
  </si>
  <si>
    <t>Backline / Flight Cases Purchase</t>
  </si>
  <si>
    <t>Stage Design / Set</t>
  </si>
  <si>
    <t>Posters / Artwork / Printing</t>
  </si>
  <si>
    <t>Costumes &amp; Styling</t>
  </si>
  <si>
    <t>In-ear Monitors Purchase</t>
  </si>
  <si>
    <t>Miscellaneous</t>
  </si>
  <si>
    <t>TOTAL CREATIVE &amp; TECHNICAL COSTS</t>
  </si>
  <si>
    <t>Transport</t>
  </si>
  <si>
    <t>Artists (rehearsals)</t>
  </si>
  <si>
    <t>Tech Crew (rehearsals)</t>
  </si>
  <si>
    <t>Artists (residency)</t>
  </si>
  <si>
    <t>Tech Crew (residency)</t>
  </si>
  <si>
    <t>Equipment / Gear</t>
  </si>
  <si>
    <t>Fuel / Tolls</t>
  </si>
  <si>
    <t>TOTAL TRANSPORT</t>
  </si>
  <si>
    <t>Accommodation &amp; Meals</t>
  </si>
  <si>
    <t>Artists – Rehearsal period</t>
  </si>
  <si>
    <t>Tech – Rehearsal period</t>
  </si>
  <si>
    <t>Artists – Residency</t>
  </si>
  <si>
    <t>Tech – Residency</t>
  </si>
  <si>
    <t>Meals / Catering</t>
  </si>
  <si>
    <t>TOTAL ACCOMMODATION &amp; MEALS</t>
  </si>
  <si>
    <t>TOTAL PRE-PRODUCTION COST</t>
  </si>
  <si>
    <t>Management Com</t>
  </si>
  <si>
    <t>INCOME &amp; FUNDING  —  Creation phase</t>
  </si>
  <si>
    <t>SOURCE</t>
  </si>
  <si>
    <t>DETAILS / NOTES</t>
  </si>
  <si>
    <t>AMOUNT</t>
  </si>
  <si>
    <t>Public grant / subsidy  (IFJ, AFAC, Goethe…)</t>
  </si>
  <si>
    <t>Private sponsorship / mécénat</t>
  </si>
  <si>
    <t>Artist residency hosting fee</t>
  </si>
  <si>
    <t>Crowdfunding</t>
  </si>
  <si>
    <t>Other income</t>
  </si>
  <si>
    <t>TOTAL FUNDING</t>
  </si>
  <si>
    <t>NET COST TO ARTIST  =  Total Cost + Mgmt Commission  –  Funding</t>
  </si>
  <si>
    <t>RELEASE SHOW  ·  SELF-PRODUCED DATE</t>
  </si>
  <si>
    <t>★  EMPLOYER SOCIAL CHARGES RATE</t>
  </si>
  <si>
    <t>★  FOREIGN ARTIST WITHHOLDING TAX</t>
  </si>
  <si>
    <t>★  MANAGEMENT COMMISSION RATE</t>
  </si>
  <si>
    <t>★  BOOKING AGENT COMMISSION RATE</t>
  </si>
  <si>
    <t>Date:</t>
  </si>
  <si>
    <t>Venue:</t>
  </si>
  <si>
    <t>City:</t>
  </si>
  <si>
    <t>Capacity (Jauge):</t>
  </si>
  <si>
    <t>EXPENSES</t>
  </si>
  <si>
    <t>UNIT COST</t>
  </si>
  <si>
    <t>QTY</t>
  </si>
  <si>
    <t>TOTAL HT</t>
  </si>
  <si>
    <t>TICKETING STRUCTURE</t>
  </si>
  <si>
    <t>Venue</t>
  </si>
  <si>
    <t>Capacity (Jauge)</t>
  </si>
  <si>
    <t>Venue rental (fixed fee)</t>
  </si>
  <si>
    <t>Invitations (comps)</t>
  </si>
  <si>
    <t>Venue rental (variable %)</t>
  </si>
  <si>
    <t>Venue servitudes</t>
  </si>
  <si>
    <t>Video recording / Broadcast</t>
  </si>
  <si>
    <t>Tickets to sell</t>
  </si>
  <si>
    <t>Overtime hours</t>
  </si>
  <si>
    <t>Ticketing / box-office fees</t>
  </si>
  <si>
    <t>TICKET PRICES</t>
  </si>
  <si>
    <t>Early Bird price</t>
  </si>
  <si>
    <t>Security provision</t>
  </si>
  <si>
    <t>Presale price</t>
  </si>
  <si>
    <t>Subtotal Venue</t>
  </si>
  <si>
    <t>Door price  — auto: presale × 1.25</t>
  </si>
  <si>
    <t>Artist Bill  (incl. payroll charges)</t>
  </si>
  <si>
    <t>TICKET SALES</t>
  </si>
  <si>
    <t>Early Bird tickets sold</t>
  </si>
  <si>
    <t>Early Bird revenue</t>
  </si>
  <si>
    <t>Presale tickets sold</t>
  </si>
  <si>
    <t>Presale revenue</t>
  </si>
  <si>
    <t>Bass Player</t>
  </si>
  <si>
    <t>Door tickets sold</t>
  </si>
  <si>
    <t>Drums</t>
  </si>
  <si>
    <t>Door revenue</t>
  </si>
  <si>
    <t>GROSS TICKET REVENUE (TTC)</t>
  </si>
  <si>
    <t>Subtotal gross fees (Artist Bill)</t>
  </si>
  <si>
    <t>TAXES &amp; DEDUCTIONS  (Jordan)</t>
  </si>
  <si>
    <t>GST / Sales Tax on tickets  (~16% Jordan — to confirm)</t>
  </si>
  <si>
    <t>Entertainment / ticketing tax  (rate TBC)</t>
  </si>
  <si>
    <t>Other local levies</t>
  </si>
  <si>
    <t>TOTAL TAXES &amp; DEDUCTIONS</t>
  </si>
  <si>
    <t>Production Tech</t>
  </si>
  <si>
    <t>NET TICKET REVENUE</t>
  </si>
  <si>
    <t>Sound system rental</t>
  </si>
  <si>
    <t>Lighting rig rental</t>
  </si>
  <si>
    <t>OTHER REVENUES</t>
  </si>
  <si>
    <t>Video / LED wall</t>
  </si>
  <si>
    <t>Sponsorship / brand partnership</t>
  </si>
  <si>
    <t>Backline rental</t>
  </si>
  <si>
    <t>Rigging / Stage</t>
  </si>
  <si>
    <t>TOTAL OTHER REVENUES</t>
  </si>
  <si>
    <t>Special effects</t>
  </si>
  <si>
    <t>COMMISSIONS</t>
  </si>
  <si>
    <t>Subtotal Production Tech</t>
  </si>
  <si>
    <t>Management commission  (★)</t>
  </si>
  <si>
    <t>Booking agent commission  (★)</t>
  </si>
  <si>
    <t>Marketing &amp; Promotion</t>
  </si>
  <si>
    <t>Social media ads (Meta / TikTok / YouTube)</t>
  </si>
  <si>
    <t>BREAK-EVEN</t>
  </si>
  <si>
    <t>Radio / TV spots</t>
  </si>
  <si>
    <t>Min tickets to sell  (total expenses ÷ avg net price)</t>
  </si>
  <si>
    <t>Print (posters, flyers, banners)</t>
  </si>
  <si>
    <t>Break-even as % of capacity</t>
  </si>
  <si>
    <t>Press / PR agency fees</t>
  </si>
  <si>
    <t>Street marketing / crew</t>
  </si>
  <si>
    <t>MERCHANDISE</t>
  </si>
  <si>
    <t>Subtotal Marketing &amp; Promotion</t>
  </si>
  <si>
    <t>PRODUCT</t>
  </si>
  <si>
    <t>SELLING PRICE</t>
  </si>
  <si>
    <t>QTY SOLD</t>
  </si>
  <si>
    <t>NET MARGIN</t>
  </si>
  <si>
    <t>T Shirts</t>
  </si>
  <si>
    <t>Personnel (show side)</t>
  </si>
  <si>
    <t>Vinyle</t>
  </si>
  <si>
    <t>Sound Engeener</t>
  </si>
  <si>
    <t>Poster</t>
  </si>
  <si>
    <t>Light Engeener</t>
  </si>
  <si>
    <t>Goodies</t>
  </si>
  <si>
    <t>TOTAL MERCH NET MARGIN</t>
  </si>
  <si>
    <t>Production / stage manager</t>
  </si>
  <si>
    <t>NET RESULT  =  (Ticket + Other revenues + Merch)  –  Expenses  –  Commissions</t>
  </si>
  <si>
    <t>Subtotal Personnel (show side)</t>
  </si>
  <si>
    <t>TOTAL REVENUE</t>
  </si>
  <si>
    <t>TOTAL EXPENSES</t>
  </si>
  <si>
    <t>SHOW COST (PLATEAU)  ·  Regional Dates  —  Performance fee / Guarantee model</t>
  </si>
  <si>
    <t>Nb of Shows:</t>
  </si>
  <si>
    <t>FEE / SHOW</t>
  </si>
  <si>
    <t>GROSS × 16 SHOWS</t>
  </si>
  <si>
    <t>BLOC 1  ·  SHOW COST</t>
  </si>
  <si>
    <t>Lead Artist</t>
  </si>
  <si>
    <t>Foreign artist withholding  (★)</t>
  </si>
  <si>
    <t>TOTAL LEAD ARTIST PAYROLL</t>
  </si>
  <si>
    <t>Band Members</t>
  </si>
  <si>
    <t>TOTAL BAND MEMBERS PAYROLL</t>
  </si>
  <si>
    <t>Tour Manager</t>
  </si>
  <si>
    <t>Technical / Equipment</t>
  </si>
  <si>
    <t>Sound system (if not provided by venue)</t>
  </si>
  <si>
    <t>Lighting rig (if needed)</t>
  </si>
  <si>
    <t>ATA Carnet / Customs</t>
  </si>
  <si>
    <t>Consumables</t>
  </si>
  <si>
    <t>TOTAL TECHNICAL / EQUIPMENT</t>
  </si>
  <si>
    <t>Tour bus / Minibus rental</t>
  </si>
  <si>
    <t>Van / VL rental</t>
  </si>
  <si>
    <t>Fuel &amp; Tolls</t>
  </si>
  <si>
    <t>Flights</t>
  </si>
  <si>
    <t>Train</t>
  </si>
  <si>
    <t>Taxis / Parking / Miscellaneous</t>
  </si>
  <si>
    <t>Hotel – Artists</t>
  </si>
  <si>
    <t>Hotel – Tech crew</t>
  </si>
  <si>
    <t>Hotel – Off days</t>
  </si>
  <si>
    <t>Travel day allowances</t>
  </si>
  <si>
    <t>Administrative &amp; Commissions</t>
  </si>
  <si>
    <t>Admin / logistics (10% payroll estimate)</t>
  </si>
  <si>
    <t>Share of pre-production creation costs</t>
  </si>
  <si>
    <t>TOTAL SHOW COST  (incl. all payroll + charges)</t>
  </si>
  <si>
    <t>BLOC 2  ·  REVENUES</t>
  </si>
  <si>
    <t>SOURCE OF INCOME</t>
  </si>
  <si>
    <t>Performance fees (all dates)  →  see Show Dates table below</t>
  </si>
  <si>
    <t>Co-production fee</t>
  </si>
  <si>
    <t>Subtotal Performance Fees</t>
  </si>
  <si>
    <t>Grants &amp; Subsidies  (total amount, not per show)</t>
  </si>
  <si>
    <t>CMO / SACEM-equivalent performance royalties</t>
  </si>
  <si>
    <t>Public subsidy  (AFAC, IFJ, Goethe, etc.)</t>
  </si>
  <si>
    <t>Other subsidy</t>
  </si>
  <si>
    <t>Subtotal Grants &amp; Subsidies</t>
  </si>
  <si>
    <t>TOTAL REVENUES  (excl. merch)</t>
  </si>
  <si>
    <t>Product 1</t>
  </si>
  <si>
    <t>Product 2</t>
  </si>
  <si>
    <t>Product 3</t>
  </si>
  <si>
    <t>Product 4</t>
  </si>
  <si>
    <t>NET RESULT  =  Total Revenues  +  Merch  –  Total Show Cost</t>
  </si>
  <si>
    <t>SHOW DATES  ·  PERFORMANCE FEES BY DATE</t>
  </si>
  <si>
    <t>→  Fill one row per show  ·  Performance Fee total auto-feeds revenues above</t>
  </si>
  <si>
    <t>#</t>
  </si>
  <si>
    <t>DATE</t>
  </si>
  <si>
    <t>CITY</t>
  </si>
  <si>
    <t>VENUE</t>
  </si>
  <si>
    <t>PERFORMANCE FEE</t>
  </si>
  <si>
    <t>NOTES</t>
  </si>
  <si>
    <t>lidaejeljidjaeljd</t>
  </si>
  <si>
    <t>AVERAGE PERFORMANCE FEE  (for reference)</t>
  </si>
  <si>
    <t>SHOW COST (PLATEAU)  ·  International Dates  —  Performance fee / Guarantee model</t>
  </si>
  <si>
    <t>GROSS × 10 SHOWS</t>
  </si>
  <si>
    <t>Oud / Guitar</t>
  </si>
  <si>
    <t>PER SHOW</t>
  </si>
  <si>
    <t>NB SHOWS</t>
  </si>
  <si>
    <t>Performance fee (guarantee)</t>
  </si>
  <si>
    <t>Tour Support</t>
  </si>
  <si>
    <t>TOTAL REVENUES (excl. merch)</t>
  </si>
  <si>
    <t>BLOC 3  ·  NET RESULT  =  Revenues  –  Show Cost</t>
  </si>
  <si>
    <t>MAJOR SHOW  ·  SELF-PRODUCED DATE  ·  LARGE VENUE</t>
  </si>
  <si>
    <t>Influencer / content creator fees</t>
  </si>
  <si>
    <t>PRODUCT  /  ITEM</t>
  </si>
  <si>
    <t>Ticketing platform commission</t>
  </si>
  <si>
    <t>→ See Merch detail tab for cost/price/qty breakdown</t>
  </si>
  <si>
    <t>Miscellaneous promo</t>
  </si>
  <si>
    <t>Security chief</t>
  </si>
  <si>
    <t>Security agents</t>
  </si>
  <si>
    <t>Catering staff</t>
  </si>
  <si>
    <t>Box-office cashiers</t>
  </si>
  <si>
    <t>Production manager</t>
  </si>
  <si>
    <t>Stage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</si>
</sst>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[Red]\(#,##0\);\-"/>
    <numFmt numFmtId="165" formatCode="m/d/yyyy"/>
    <numFmt numFmtId="166" formatCode="0&quot; days&quot;"/>
    <numFmt numFmtId="167" formatCode="0.0&quot; months&quot;"/>
    <numFmt numFmtId="168" formatCode="0.0%"/>
    <numFmt numFmtId="169" formatCode="[Green]\(#,##0\);[Red]#,##0;\-"/>
    <numFmt numFmtId="170" formatCode="#,##0;\(#,##0\);\-"/>
  </numFmts>
  <fonts count="30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0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9.5"/>
      <color rgb="FF000000"/>
      <name val="Calibri"/>
      <family val="2"/>
      <charset val="1"/>
    </font>
    <font>
      <sz val="9.5"/>
      <color rgb="FF0000FF"/>
      <name val="Calibri"/>
      <family val="2"/>
      <charset val="1"/>
    </font>
    <font>
      <b/>
      <sz val="9.5"/>
      <color rgb="FFFFFFFF"/>
      <name val="Calibri"/>
      <family val="2"/>
      <charset val="1"/>
    </font>
    <font>
      <i/>
      <sz val="9.5"/>
      <color rgb="FF888888"/>
      <name val="Calibri"/>
      <family val="2"/>
      <charset val="1"/>
    </font>
    <font>
      <sz val="9.5"/>
      <color rgb="FF000000"/>
      <name val="Calibri"/>
      <family val="2"/>
      <charset val="1"/>
    </font>
    <font>
      <sz val="9.5"/>
      <color rgb="FF888888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9.5"/>
      <color rgb="FF1E5631"/>
      <name val="Calibri"/>
      <family val="2"/>
      <charset val="1"/>
    </font>
    <font>
      <i/>
      <sz val="9"/>
      <color rgb="FF1E5631"/>
      <name val="Calibri"/>
      <family val="2"/>
      <charset val="1"/>
    </font>
    <font>
      <b/>
      <sz val="13"/>
      <color rgb="FFFFFFFF"/>
      <name val="Calibri"/>
      <family val="2"/>
      <charset val="1"/>
    </font>
    <font>
      <sz val="8.5"/>
      <color rgb="FFFFFFFF"/>
      <name val="Calibri"/>
      <family val="2"/>
      <charset val="1"/>
    </font>
    <font>
      <b/>
      <sz val="9.5"/>
      <color rgb="FF0000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3"/>
      <color rgb="FFC00000"/>
      <name val="Calibri"/>
      <family val="2"/>
      <charset val="1"/>
    </font>
    <font>
      <sz val="9.5"/>
      <name val="Calibri"/>
      <family val="2"/>
      <charset val="1"/>
    </font>
    <font>
      <b/>
      <sz val="8"/>
      <color rgb="FFFFFFFF"/>
      <name val="Calibri"/>
      <family val="2"/>
    </font>
    <font>
      <b/>
      <sz val="9.5"/>
      <color rgb="FFFFFFFF"/>
      <name val="Calibri"/>
      <family val="2"/>
    </font>
    <font>
      <b/>
      <sz val="9.5"/>
      <color rgb="FF008000"/>
      <name val="Calibri"/>
      <family val="2"/>
    </font>
    <font>
      <b/>
      <sz val="9.5"/>
      <color rgb="FF1E5631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i/>
      <sz val="8.5"/>
      <color rgb="FF1E5631"/>
      <name val="Calibri"/>
      <family val="2"/>
      <charset val="1"/>
    </font>
    <font>
      <i/>
      <sz val="8"/>
      <color rgb="FF88888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E5631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D4E6D4"/>
        <bgColor rgb="FFDDDDDD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9" fillId="2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6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64" fontId="1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3" fillId="3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6" fontId="9" fillId="5" borderId="1" xfId="0" applyNumberFormat="1" applyFont="1" applyFill="1" applyBorder="1" applyAlignment="1">
      <alignment horizontal="center" vertical="center" wrapText="1"/>
    </xf>
    <xf numFmtId="167" fontId="9" fillId="5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6" fontId="9" fillId="4" borderId="1" xfId="0" applyNumberFormat="1" applyFont="1" applyFill="1" applyBorder="1" applyAlignment="1">
      <alignment horizontal="center" vertical="center" wrapText="1"/>
    </xf>
    <xf numFmtId="167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9" fillId="0" borderId="1" xfId="0" applyFont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  <xf numFmtId="166" fontId="9" fillId="0" borderId="1" xfId="0" applyNumberFormat="1" applyFont="1" applyBorder="1" applyAlignment="1">
      <alignment horizontal="center" vertical="center" wrapText="1"/>
    </xf>
    <xf numFmtId="168" fontId="18" fillId="4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9" fillId="2" borderId="1" xfId="0" applyNumberFormat="1" applyFont="1" applyFill="1" applyBorder="1"/>
    <xf numFmtId="0" fontId="16" fillId="2" borderId="1" xfId="0" applyFont="1" applyFill="1" applyBorder="1" applyAlignment="1">
      <alignment horizontal="left" vertical="center" wrapText="1"/>
    </xf>
    <xf numFmtId="169" fontId="20" fillId="2" borderId="1" xfId="0" applyNumberFormat="1" applyFont="1" applyFill="1" applyBorder="1"/>
    <xf numFmtId="0" fontId="5" fillId="6" borderId="1" xfId="0" applyFont="1" applyFill="1" applyBorder="1" applyAlignment="1">
      <alignment horizontal="left" vertical="center" wrapText="1"/>
    </xf>
    <xf numFmtId="170" fontId="5" fillId="6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164" fontId="21" fillId="4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170" fontId="18" fillId="4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64" fontId="24" fillId="5" borderId="1" xfId="0" applyNumberFormat="1" applyFont="1" applyFill="1" applyBorder="1" applyAlignment="1">
      <alignment horizontal="center" vertical="center" wrapText="1"/>
    </xf>
    <xf numFmtId="164" fontId="25" fillId="6" borderId="1" xfId="0" applyNumberFormat="1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4" fontId="26" fillId="6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27" fillId="2" borderId="1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164" fontId="16" fillId="2" borderId="1" xfId="0" applyNumberFormat="1" applyFont="1" applyFill="1" applyBorder="1"/>
    <xf numFmtId="170" fontId="5" fillId="4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5" fillId="0" borderId="0" xfId="0" applyFont="1"/>
    <xf numFmtId="49" fontId="6" fillId="5" borderId="1" xfId="0" applyNumberFormat="1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0" borderId="0" xfId="0"/>
    <xf numFmtId="0" fontId="1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6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GridLines="0" tabSelected="1" zoomScale="200" zoomScaleNormal="22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3" width="18" customWidth="1"/>
    <col min="4" max="8" width="16" customWidth="1"/>
    <col min="9" max="9" width="2" customWidth="1"/>
  </cols>
  <sheetData>
    <row r="1" spans="2:8" ht="31.5" customHeight="1" x14ac:dyDescent="0.2">
      <c r="B1" s="89" t="s">
        <v>0</v>
      </c>
      <c r="C1" s="89"/>
      <c r="D1" s="89"/>
      <c r="E1" s="89"/>
      <c r="F1" s="89"/>
      <c r="G1" s="89"/>
      <c r="H1" s="89"/>
    </row>
    <row r="2" spans="2:8" ht="19.5" customHeight="1" x14ac:dyDescent="0.2">
      <c r="B2" s="90" t="s">
        <v>1</v>
      </c>
      <c r="C2" s="90"/>
      <c r="D2" s="90"/>
      <c r="E2" s="90"/>
      <c r="F2" s="90"/>
      <c r="G2" s="90"/>
      <c r="H2" s="90"/>
    </row>
    <row r="4" spans="2:8" ht="15" customHeight="1" x14ac:dyDescent="0.2">
      <c r="B4" s="7" t="s">
        <v>2</v>
      </c>
      <c r="C4" s="8"/>
    </row>
    <row r="5" spans="2:8" ht="15" customHeight="1" x14ac:dyDescent="0.2">
      <c r="B5" s="9" t="s">
        <v>3</v>
      </c>
      <c r="C5" s="10"/>
    </row>
    <row r="6" spans="2:8" ht="15" customHeight="1" x14ac:dyDescent="0.2">
      <c r="B6" s="9" t="s">
        <v>4</v>
      </c>
      <c r="C6" s="10"/>
    </row>
    <row r="8" spans="2:8" ht="25.5" customHeight="1" x14ac:dyDescent="0.2"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</row>
    <row r="9" spans="2:8" ht="21.75" customHeight="1" x14ac:dyDescent="0.2">
      <c r="B9" s="12" t="s">
        <v>12</v>
      </c>
      <c r="C9" s="13" t="str">
        <f>IFERROR(IF(AND('Pre-Production'!C4&lt;&gt;"", 'Pre-Production'!C5&lt;&gt;""), TEXT('Pre-Production'!C4,"DD/MM/YY")&amp;" → "&amp;TEXT('Pre-Production'!C5,"DD/MM/YY"),""),"")</f>
        <v/>
      </c>
      <c r="D9" s="14">
        <f>'Pre-Production'!E75</f>
        <v>0</v>
      </c>
      <c r="E9" s="15">
        <f>'Pre-Production'!E88</f>
        <v>0</v>
      </c>
      <c r="F9" s="16">
        <v>0</v>
      </c>
      <c r="G9" s="14">
        <f>-'Pre-Production'!E92</f>
        <v>0</v>
      </c>
      <c r="H9" s="17">
        <f>G9</f>
        <v>0</v>
      </c>
    </row>
    <row r="10" spans="2:8" ht="21.75" customHeight="1" x14ac:dyDescent="0.2">
      <c r="B10" s="18" t="s">
        <v>13</v>
      </c>
      <c r="C10" s="19" t="str">
        <f>IFERROR(IF('Release Show'!C8&lt;&gt;"",TEXT('Release Show'!C8,"DD/MM/YY"),""),"")</f>
        <v/>
      </c>
      <c r="D10" s="20">
        <f>'Release Show'!E66</f>
        <v>0</v>
      </c>
      <c r="E10" s="20">
        <f>'Release Show'!H28</f>
        <v>0</v>
      </c>
      <c r="F10" s="20">
        <f>'Release Show'!H57</f>
        <v>0</v>
      </c>
      <c r="G10" s="20">
        <f>'Release Show'!H59</f>
        <v>0</v>
      </c>
      <c r="H10" s="21">
        <f>H9+G10</f>
        <v>0</v>
      </c>
    </row>
    <row r="11" spans="2:8" ht="21.75" customHeight="1" x14ac:dyDescent="0.2">
      <c r="B11" s="12" t="s">
        <v>14</v>
      </c>
      <c r="C11" s="13" t="str">
        <f>IFERROR(IF(AND('Regional Tour'!C9&lt;&gt;"",'Regional Tour'!C10&lt;&gt;""),TEXT('Regional Tour'!C9,"DD/MM/YY")&amp;" → "&amp;TEXT('Regional Tour'!C10,"DD/MM/YY"),""),"")</f>
        <v/>
      </c>
      <c r="D11" s="14">
        <f>'Regional Tour'!D85</f>
        <v>0</v>
      </c>
      <c r="E11" s="14">
        <f>'Regional Tour'!E102</f>
        <v>0</v>
      </c>
      <c r="F11" s="14">
        <f>'Regional Tour'!E112</f>
        <v>0</v>
      </c>
      <c r="G11" s="14">
        <f>'Regional Tour'!E116</f>
        <v>0</v>
      </c>
      <c r="H11" s="17">
        <f>H10+G11</f>
        <v>0</v>
      </c>
    </row>
    <row r="12" spans="2:8" ht="21.75" customHeight="1" x14ac:dyDescent="0.2">
      <c r="B12" s="18" t="s">
        <v>15</v>
      </c>
      <c r="C12" s="19" t="str">
        <f>IFERROR(IF(AND('International Tour'!C9&lt;&gt;"",'International Tour'!C10&lt;&gt;""),TEXT('International Tour'!C9,"DD/MM/YY")&amp;" → "&amp;TEXT('International Tour'!C10,"DD/MM/YY"),""),"")</f>
        <v/>
      </c>
      <c r="D12" s="20">
        <f>'International Tour'!D85</f>
        <v>0</v>
      </c>
      <c r="E12" s="20">
        <f>'International Tour'!E102</f>
        <v>0</v>
      </c>
      <c r="F12" s="20">
        <f>'International Tour'!E112</f>
        <v>0</v>
      </c>
      <c r="G12" s="20">
        <f>'International Tour'!E116</f>
        <v>0</v>
      </c>
      <c r="H12" s="21">
        <f>H11+G12</f>
        <v>0</v>
      </c>
    </row>
    <row r="13" spans="2:8" ht="21.75" customHeight="1" x14ac:dyDescent="0.2">
      <c r="B13" s="12" t="s">
        <v>16</v>
      </c>
      <c r="C13" s="13" t="str">
        <f>IFERROR(IF('Major Show'!C8&lt;&gt;"",TEXT('Major Show'!C8,"DD/MM/YY"),""),"")</f>
        <v/>
      </c>
      <c r="D13" s="14">
        <f>'Major Show'!E69</f>
        <v>0</v>
      </c>
      <c r="E13" s="14">
        <f>'Major Show'!H28</f>
        <v>0</v>
      </c>
      <c r="F13" s="14">
        <f>'Major Show'!H57</f>
        <v>0</v>
      </c>
      <c r="G13" s="14">
        <f>'Major Show'!H59</f>
        <v>0</v>
      </c>
      <c r="H13" s="17">
        <f>H12+G13</f>
        <v>0</v>
      </c>
    </row>
    <row r="15" spans="2:8" ht="24" customHeight="1" x14ac:dyDescent="0.2">
      <c r="B15" s="22" t="s">
        <v>17</v>
      </c>
      <c r="C15" s="23"/>
      <c r="D15" s="24">
        <f>SUM(D9:D13)</f>
        <v>0</v>
      </c>
      <c r="E15" s="24">
        <f>SUM(E9:E13)</f>
        <v>0</v>
      </c>
      <c r="F15" s="24">
        <f>SUM(F9:F13)</f>
        <v>0</v>
      </c>
      <c r="G15" s="24">
        <f>SUM(G9:G13)</f>
        <v>0</v>
      </c>
      <c r="H15" s="24">
        <f>H13</f>
        <v>0</v>
      </c>
    </row>
    <row r="17" spans="2:8" ht="6" customHeight="1" x14ac:dyDescent="0.2">
      <c r="B17" s="25"/>
      <c r="C17" s="25"/>
      <c r="D17" s="25"/>
      <c r="E17" s="25"/>
      <c r="F17" s="25"/>
      <c r="G17" s="25"/>
      <c r="H17" s="25"/>
    </row>
    <row r="19" spans="2:8" ht="19.5" customHeight="1" x14ac:dyDescent="0.2">
      <c r="B19" s="91" t="s">
        <v>18</v>
      </c>
      <c r="C19" s="91"/>
      <c r="D19" s="91"/>
      <c r="E19" s="91"/>
      <c r="F19" s="91"/>
      <c r="G19" s="91"/>
      <c r="H19" s="91"/>
    </row>
    <row r="21" spans="2:8" ht="19.5" customHeight="1" x14ac:dyDescent="0.2">
      <c r="B21" s="26" t="s">
        <v>19</v>
      </c>
      <c r="C21" s="26" t="s">
        <v>20</v>
      </c>
      <c r="D21" s="26" t="s">
        <v>21</v>
      </c>
      <c r="E21" s="26" t="s">
        <v>22</v>
      </c>
      <c r="F21" s="26" t="s">
        <v>23</v>
      </c>
    </row>
    <row r="22" spans="2:8" ht="18" customHeight="1" x14ac:dyDescent="0.2">
      <c r="B22" s="12" t="s">
        <v>12</v>
      </c>
      <c r="C22" s="27">
        <f>'Pre-Production'!C4</f>
        <v>0</v>
      </c>
      <c r="D22" s="27">
        <f>'Pre-Production'!C5</f>
        <v>0</v>
      </c>
      <c r="E22" s="28" t="str">
        <f>'Pre-Production'!C6</f>
        <v/>
      </c>
      <c r="F22" s="29" t="str">
        <f>'Pre-Production'!D6</f>
        <v/>
      </c>
    </row>
    <row r="23" spans="2:8" ht="18" customHeight="1" x14ac:dyDescent="0.2">
      <c r="B23" s="18" t="s">
        <v>13</v>
      </c>
      <c r="C23" s="30">
        <f>'Release Show'!C8</f>
        <v>0</v>
      </c>
      <c r="D23" s="30">
        <f>'Release Show'!C8</f>
        <v>0</v>
      </c>
      <c r="E23" s="31"/>
      <c r="F23" s="32"/>
    </row>
    <row r="24" spans="2:8" ht="18" customHeight="1" x14ac:dyDescent="0.2">
      <c r="B24" s="12" t="s">
        <v>14</v>
      </c>
      <c r="C24" s="27">
        <f>'Regional Tour'!C9</f>
        <v>0</v>
      </c>
      <c r="D24" s="27">
        <f>'Regional Tour'!C10</f>
        <v>0</v>
      </c>
      <c r="E24" s="33" t="str">
        <f>'Regional Tour'!C11</f>
        <v/>
      </c>
      <c r="F24" s="33" t="str">
        <f>'Regional Tour'!D11</f>
        <v/>
      </c>
    </row>
    <row r="25" spans="2:8" ht="18" customHeight="1" x14ac:dyDescent="0.2">
      <c r="B25" s="18" t="s">
        <v>15</v>
      </c>
      <c r="C25" s="30">
        <f>'International Tour'!C9</f>
        <v>0</v>
      </c>
      <c r="D25" s="30">
        <f>'International Tour'!C10</f>
        <v>0</v>
      </c>
      <c r="E25" s="34" t="str">
        <f>'International Tour'!C11</f>
        <v/>
      </c>
      <c r="F25" s="34" t="str">
        <f>'International Tour'!D11</f>
        <v/>
      </c>
    </row>
    <row r="26" spans="2:8" ht="18" customHeight="1" x14ac:dyDescent="0.2">
      <c r="B26" s="12" t="s">
        <v>16</v>
      </c>
      <c r="C26" s="27">
        <f>'Major Show'!C8</f>
        <v>0</v>
      </c>
      <c r="D26" s="27">
        <f>'Major Show'!C8</f>
        <v>0</v>
      </c>
      <c r="E26" s="28"/>
      <c r="F26" s="29"/>
    </row>
    <row r="28" spans="2:8" ht="19.5" customHeight="1" x14ac:dyDescent="0.2">
      <c r="B28" s="35" t="s">
        <v>24</v>
      </c>
      <c r="C28" s="36"/>
      <c r="D28" s="36"/>
      <c r="E28" s="36"/>
      <c r="F28" s="36"/>
    </row>
    <row r="30" spans="2:8" ht="15" customHeight="1" x14ac:dyDescent="0.2">
      <c r="B30" s="92" t="s">
        <v>25</v>
      </c>
      <c r="C30" s="92"/>
      <c r="D30" s="92"/>
      <c r="E30" s="92"/>
      <c r="F30" s="92"/>
      <c r="G30" s="92"/>
      <c r="H30" s="92"/>
    </row>
  </sheetData>
  <mergeCells count="4">
    <mergeCell ref="B1:H1"/>
    <mergeCell ref="B2:H2"/>
    <mergeCell ref="B19:H19"/>
    <mergeCell ref="B30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92"/>
  <sheetViews>
    <sheetView showGridLines="0" zoomScale="202" zoomScaleNormal="202" workbookViewId="0">
      <pane xSplit="1" ySplit="8" topLeftCell="B27" activePane="bottomRight" state="frozen"/>
      <selection pane="topRight" activeCell="B1" sqref="B1"/>
      <selection pane="bottomLeft" activeCell="A80" sqref="A80"/>
      <selection pane="bottomRight" activeCell="C49" sqref="C49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6" customWidth="1"/>
    <col min="4" max="4" width="12" customWidth="1"/>
    <col min="5" max="5" width="16" customWidth="1"/>
  </cols>
  <sheetData>
    <row r="1" spans="2:5" ht="27.75" customHeight="1" x14ac:dyDescent="0.2">
      <c r="B1" s="99" t="s">
        <v>26</v>
      </c>
      <c r="C1" s="99"/>
      <c r="D1" s="99"/>
      <c r="E1" s="99"/>
    </row>
    <row r="2" spans="2:5" ht="15" customHeight="1" x14ac:dyDescent="0.2">
      <c r="B2" s="9" t="s">
        <v>27</v>
      </c>
      <c r="C2" s="37">
        <f>Summary!C4</f>
        <v>0</v>
      </c>
    </row>
    <row r="3" spans="2:5" ht="15" customHeight="1" x14ac:dyDescent="0.2">
      <c r="B3" s="9" t="s">
        <v>3</v>
      </c>
      <c r="C3" s="10"/>
    </row>
    <row r="4" spans="2:5" ht="15" customHeight="1" x14ac:dyDescent="0.2">
      <c r="B4" s="9" t="s">
        <v>28</v>
      </c>
      <c r="C4" s="38"/>
    </row>
    <row r="5" spans="2:5" ht="15" customHeight="1" x14ac:dyDescent="0.2">
      <c r="B5" s="9" t="s">
        <v>29</v>
      </c>
      <c r="C5" s="38"/>
    </row>
    <row r="6" spans="2:5" ht="15" customHeight="1" x14ac:dyDescent="0.2">
      <c r="B6" s="9" t="s">
        <v>30</v>
      </c>
      <c r="C6" s="39" t="str">
        <f>IF(AND(C4&lt;&gt;"",C5&lt;&gt;""),C5-C4,"")</f>
        <v/>
      </c>
      <c r="D6" s="32" t="str">
        <f>IF(AND(C4&lt;&gt;"",C5&lt;&gt;""),ROUND((C5-C4)/30,1),"")</f>
        <v/>
      </c>
    </row>
    <row r="7" spans="2:5" ht="15" customHeight="1" x14ac:dyDescent="0.2">
      <c r="B7" s="9" t="s">
        <v>31</v>
      </c>
      <c r="C7" s="10"/>
    </row>
    <row r="8" spans="2:5" ht="15" customHeight="1" x14ac:dyDescent="0.2">
      <c r="B8" s="9" t="s">
        <v>32</v>
      </c>
      <c r="C8" s="10"/>
    </row>
    <row r="10" spans="2:5" ht="13.5" customHeight="1" x14ac:dyDescent="0.2">
      <c r="B10" s="100" t="s">
        <v>33</v>
      </c>
      <c r="C10" s="100"/>
      <c r="D10" s="100"/>
      <c r="E10" s="40"/>
    </row>
    <row r="11" spans="2:5" ht="13.5" customHeight="1" x14ac:dyDescent="0.2">
      <c r="B11" s="101" t="s">
        <v>34</v>
      </c>
      <c r="C11" s="101"/>
      <c r="D11" s="101"/>
      <c r="E11" s="40"/>
    </row>
    <row r="12" spans="2:5" ht="13.5" customHeight="1" x14ac:dyDescent="0.2">
      <c r="B12" s="100" t="s">
        <v>35</v>
      </c>
      <c r="C12" s="100"/>
      <c r="D12" s="100"/>
      <c r="E12" s="40"/>
    </row>
    <row r="14" spans="2:5" ht="19.5" customHeight="1" x14ac:dyDescent="0.2">
      <c r="B14" s="11" t="s">
        <v>36</v>
      </c>
      <c r="C14" s="11" t="s">
        <v>37</v>
      </c>
      <c r="D14" s="11" t="s">
        <v>38</v>
      </c>
      <c r="E14" s="11" t="s">
        <v>17</v>
      </c>
    </row>
    <row r="15" spans="2:5" ht="19.5" customHeight="1" x14ac:dyDescent="0.2">
      <c r="B15" s="97" t="s">
        <v>39</v>
      </c>
      <c r="C15" s="97"/>
      <c r="D15" s="97"/>
      <c r="E15" s="97"/>
    </row>
    <row r="16" spans="2:5" ht="15.75" customHeight="1" x14ac:dyDescent="0.2">
      <c r="B16" s="2" t="s">
        <v>40</v>
      </c>
      <c r="C16" s="41"/>
      <c r="D16" s="41"/>
      <c r="E16" s="14">
        <f t="shared" ref="E16:E22" si="0">C16*D16</f>
        <v>0</v>
      </c>
    </row>
    <row r="17" spans="2:5" ht="15.75" customHeight="1" x14ac:dyDescent="0.2">
      <c r="B17" s="3" t="s">
        <v>41</v>
      </c>
      <c r="C17" s="42"/>
      <c r="D17" s="42"/>
      <c r="E17" s="20">
        <f t="shared" si="0"/>
        <v>0</v>
      </c>
    </row>
    <row r="18" spans="2:5" ht="15.75" customHeight="1" x14ac:dyDescent="0.2">
      <c r="B18" s="2" t="s">
        <v>42</v>
      </c>
      <c r="C18" s="41"/>
      <c r="D18" s="41"/>
      <c r="E18" s="14">
        <f t="shared" si="0"/>
        <v>0</v>
      </c>
    </row>
    <row r="19" spans="2:5" ht="15.75" customHeight="1" x14ac:dyDescent="0.2">
      <c r="B19" s="3" t="s">
        <v>43</v>
      </c>
      <c r="C19" s="42"/>
      <c r="D19" s="42"/>
      <c r="E19" s="20">
        <f t="shared" si="0"/>
        <v>0</v>
      </c>
    </row>
    <row r="20" spans="2:5" ht="15.75" customHeight="1" x14ac:dyDescent="0.2">
      <c r="B20" s="2"/>
      <c r="C20" s="41"/>
      <c r="D20" s="41"/>
      <c r="E20" s="14">
        <f t="shared" si="0"/>
        <v>0</v>
      </c>
    </row>
    <row r="21" spans="2:5" ht="15.75" customHeight="1" x14ac:dyDescent="0.2">
      <c r="B21" s="3"/>
      <c r="C21" s="42"/>
      <c r="D21" s="42"/>
      <c r="E21" s="20">
        <f t="shared" si="0"/>
        <v>0</v>
      </c>
    </row>
    <row r="22" spans="2:5" ht="15.75" customHeight="1" x14ac:dyDescent="0.2">
      <c r="B22" s="2" t="s">
        <v>44</v>
      </c>
      <c r="C22" s="41"/>
      <c r="D22" s="41"/>
      <c r="E22" s="14">
        <f t="shared" si="0"/>
        <v>0</v>
      </c>
    </row>
    <row r="23" spans="2:5" ht="18.75" customHeight="1" x14ac:dyDescent="0.2">
      <c r="B23" s="43" t="s">
        <v>45</v>
      </c>
      <c r="C23" s="44"/>
      <c r="D23" s="44"/>
      <c r="E23" s="45">
        <f>SUM(E16:E22)</f>
        <v>0</v>
      </c>
    </row>
    <row r="24" spans="2:5" ht="13.5" customHeight="1" x14ac:dyDescent="0.2">
      <c r="B24" s="46" t="s">
        <v>46</v>
      </c>
      <c r="C24" s="47"/>
      <c r="D24" s="47"/>
      <c r="E24" s="14">
        <f>E10*(E16+E17+E18+E19+E20)</f>
        <v>0</v>
      </c>
    </row>
    <row r="25" spans="2:5" ht="13.5" customHeight="1" x14ac:dyDescent="0.2">
      <c r="B25" s="4" t="s">
        <v>47</v>
      </c>
      <c r="C25" s="48"/>
      <c r="D25" s="48"/>
      <c r="E25" s="20">
        <f>E11*(E21+E22)</f>
        <v>0</v>
      </c>
    </row>
    <row r="26" spans="2:5" ht="18.75" customHeight="1" x14ac:dyDescent="0.2">
      <c r="B26" s="43" t="s">
        <v>48</v>
      </c>
      <c r="C26" s="44"/>
      <c r="D26" s="44"/>
      <c r="E26" s="45">
        <f>E23+E24+E25</f>
        <v>0</v>
      </c>
    </row>
    <row r="28" spans="2:5" ht="19.5" customHeight="1" x14ac:dyDescent="0.2">
      <c r="B28" s="97" t="s">
        <v>49</v>
      </c>
      <c r="C28" s="97"/>
      <c r="D28" s="97"/>
      <c r="E28" s="97"/>
    </row>
    <row r="29" spans="2:5" ht="15.75" customHeight="1" x14ac:dyDescent="0.2">
      <c r="B29" s="2" t="s">
        <v>50</v>
      </c>
      <c r="C29" s="41"/>
      <c r="D29" s="41"/>
      <c r="E29" s="14">
        <f t="shared" ref="E29:E35" si="1">C29*D29</f>
        <v>0</v>
      </c>
    </row>
    <row r="30" spans="2:5" ht="15.75" customHeight="1" x14ac:dyDescent="0.2">
      <c r="B30" s="3" t="s">
        <v>51</v>
      </c>
      <c r="C30" s="42"/>
      <c r="D30" s="42"/>
      <c r="E30" s="20">
        <f t="shared" si="1"/>
        <v>0</v>
      </c>
    </row>
    <row r="31" spans="2:5" ht="15.75" customHeight="1" x14ac:dyDescent="0.2">
      <c r="B31" s="2" t="s">
        <v>52</v>
      </c>
      <c r="C31" s="41"/>
      <c r="D31" s="41"/>
      <c r="E31" s="14">
        <f t="shared" si="1"/>
        <v>0</v>
      </c>
    </row>
    <row r="32" spans="2:5" ht="15.75" customHeight="1" x14ac:dyDescent="0.2">
      <c r="B32" s="3" t="s">
        <v>53</v>
      </c>
      <c r="C32" s="42"/>
      <c r="D32" s="42"/>
      <c r="E32" s="20">
        <f t="shared" si="1"/>
        <v>0</v>
      </c>
    </row>
    <row r="33" spans="2:5" ht="15.75" customHeight="1" x14ac:dyDescent="0.2">
      <c r="B33" s="2" t="s">
        <v>54</v>
      </c>
      <c r="C33" s="41"/>
      <c r="D33" s="41"/>
      <c r="E33" s="14">
        <f t="shared" si="1"/>
        <v>0</v>
      </c>
    </row>
    <row r="34" spans="2:5" ht="15.75" customHeight="1" x14ac:dyDescent="0.2">
      <c r="B34" s="3" t="s">
        <v>55</v>
      </c>
      <c r="C34" s="42"/>
      <c r="D34" s="42"/>
      <c r="E34" s="20">
        <f t="shared" si="1"/>
        <v>0</v>
      </c>
    </row>
    <row r="35" spans="2:5" ht="15.75" customHeight="1" x14ac:dyDescent="0.2">
      <c r="B35" s="2" t="s">
        <v>56</v>
      </c>
      <c r="C35" s="41"/>
      <c r="D35" s="41"/>
      <c r="E35" s="14">
        <f t="shared" si="1"/>
        <v>0</v>
      </c>
    </row>
    <row r="36" spans="2:5" ht="18.75" customHeight="1" x14ac:dyDescent="0.2">
      <c r="B36" s="43" t="s">
        <v>45</v>
      </c>
      <c r="C36" s="44"/>
      <c r="D36" s="44"/>
      <c r="E36" s="45">
        <f>SUM(E29:E35)</f>
        <v>0</v>
      </c>
    </row>
    <row r="37" spans="2:5" ht="13.5" customHeight="1" x14ac:dyDescent="0.2">
      <c r="B37" s="46" t="s">
        <v>57</v>
      </c>
      <c r="C37" s="47"/>
      <c r="D37" s="47"/>
      <c r="E37" s="14">
        <f>E10*E36</f>
        <v>0</v>
      </c>
    </row>
    <row r="38" spans="2:5" ht="13.5" customHeight="1" x14ac:dyDescent="0.2">
      <c r="B38" s="4" t="s">
        <v>58</v>
      </c>
      <c r="C38" s="48"/>
      <c r="D38" s="48"/>
      <c r="E38" s="20">
        <f>E11*0</f>
        <v>0</v>
      </c>
    </row>
    <row r="39" spans="2:5" ht="18.75" customHeight="1" x14ac:dyDescent="0.2">
      <c r="B39" s="43" t="s">
        <v>59</v>
      </c>
      <c r="C39" s="44"/>
      <c r="D39" s="44"/>
      <c r="E39" s="45">
        <f>E36+E37+E38</f>
        <v>0</v>
      </c>
    </row>
    <row r="41" spans="2:5" ht="19.5" customHeight="1" x14ac:dyDescent="0.2">
      <c r="B41" s="91" t="s">
        <v>60</v>
      </c>
      <c r="C41" s="91"/>
      <c r="D41" s="91"/>
      <c r="E41" s="91"/>
    </row>
    <row r="42" spans="2:5" ht="15.75" customHeight="1" x14ac:dyDescent="0.2">
      <c r="B42" s="2" t="s">
        <v>61</v>
      </c>
      <c r="C42" s="41"/>
      <c r="D42" s="41"/>
      <c r="E42" s="14">
        <f t="shared" ref="E42:E51" si="2">C42*D42</f>
        <v>0</v>
      </c>
    </row>
    <row r="43" spans="2:5" ht="15.75" customHeight="1" x14ac:dyDescent="0.2">
      <c r="B43" s="3" t="s">
        <v>62</v>
      </c>
      <c r="C43" s="42"/>
      <c r="D43" s="42"/>
      <c r="E43" s="20">
        <f t="shared" si="2"/>
        <v>0</v>
      </c>
    </row>
    <row r="44" spans="2:5" ht="15.75" customHeight="1" x14ac:dyDescent="0.2">
      <c r="B44" s="2"/>
      <c r="C44" s="41"/>
      <c r="D44" s="41"/>
      <c r="E44" s="14">
        <f t="shared" si="2"/>
        <v>0</v>
      </c>
    </row>
    <row r="45" spans="2:5" ht="15.75" customHeight="1" x14ac:dyDescent="0.2">
      <c r="B45" s="3" t="s">
        <v>63</v>
      </c>
      <c r="C45" s="42"/>
      <c r="D45" s="42"/>
      <c r="E45" s="20">
        <f t="shared" si="2"/>
        <v>0</v>
      </c>
    </row>
    <row r="46" spans="2:5" ht="15.75" customHeight="1" x14ac:dyDescent="0.2">
      <c r="B46" s="2" t="s">
        <v>64</v>
      </c>
      <c r="C46" s="41"/>
      <c r="D46" s="41"/>
      <c r="E46" s="14">
        <f t="shared" si="2"/>
        <v>0</v>
      </c>
    </row>
    <row r="47" spans="2:5" ht="15.75" customHeight="1" x14ac:dyDescent="0.2">
      <c r="B47" s="3" t="s">
        <v>65</v>
      </c>
      <c r="C47" s="42"/>
      <c r="D47" s="42"/>
      <c r="E47" s="20">
        <f t="shared" si="2"/>
        <v>0</v>
      </c>
    </row>
    <row r="48" spans="2:5" ht="15.75" customHeight="1" x14ac:dyDescent="0.2">
      <c r="B48" s="2" t="s">
        <v>66</v>
      </c>
      <c r="C48" s="41"/>
      <c r="D48" s="41"/>
      <c r="E48" s="14">
        <f t="shared" si="2"/>
        <v>0</v>
      </c>
    </row>
    <row r="49" spans="2:5" ht="15.75" customHeight="1" x14ac:dyDescent="0.2">
      <c r="B49" s="3" t="s">
        <v>67</v>
      </c>
      <c r="C49" s="42"/>
      <c r="D49" s="42"/>
      <c r="E49" s="20">
        <f t="shared" si="2"/>
        <v>0</v>
      </c>
    </row>
    <row r="50" spans="2:5" ht="15.75" customHeight="1" x14ac:dyDescent="0.2">
      <c r="B50" s="2" t="s">
        <v>68</v>
      </c>
      <c r="C50" s="41"/>
      <c r="D50" s="41"/>
      <c r="E50" s="14">
        <f t="shared" si="2"/>
        <v>0</v>
      </c>
    </row>
    <row r="51" spans="2:5" ht="15.75" customHeight="1" x14ac:dyDescent="0.2">
      <c r="B51" s="3" t="s">
        <v>69</v>
      </c>
      <c r="C51" s="42"/>
      <c r="D51" s="42"/>
      <c r="E51" s="20">
        <f t="shared" si="2"/>
        <v>0</v>
      </c>
    </row>
    <row r="52" spans="2:5" ht="18.75" customHeight="1" x14ac:dyDescent="0.2">
      <c r="B52" s="43" t="s">
        <v>70</v>
      </c>
      <c r="C52" s="44"/>
      <c r="D52" s="44"/>
      <c r="E52" s="45">
        <f>SUM(E42:E51)</f>
        <v>0</v>
      </c>
    </row>
    <row r="54" spans="2:5" ht="19.5" customHeight="1" x14ac:dyDescent="0.2">
      <c r="B54" s="91" t="s">
        <v>71</v>
      </c>
      <c r="C54" s="91"/>
      <c r="D54" s="91"/>
      <c r="E54" s="91"/>
    </row>
    <row r="55" spans="2:5" ht="15.75" customHeight="1" x14ac:dyDescent="0.2">
      <c r="B55" s="2" t="s">
        <v>72</v>
      </c>
      <c r="C55" s="41"/>
      <c r="D55" s="41"/>
      <c r="E55" s="14">
        <f t="shared" ref="E55:E61" si="3">C55*D55</f>
        <v>0</v>
      </c>
    </row>
    <row r="56" spans="2:5" ht="15.75" customHeight="1" x14ac:dyDescent="0.2">
      <c r="B56" s="3" t="s">
        <v>73</v>
      </c>
      <c r="C56" s="42"/>
      <c r="D56" s="42"/>
      <c r="E56" s="20">
        <f t="shared" si="3"/>
        <v>0</v>
      </c>
    </row>
    <row r="57" spans="2:5" ht="15.75" customHeight="1" x14ac:dyDescent="0.2">
      <c r="B57" s="2" t="s">
        <v>74</v>
      </c>
      <c r="C57" s="41"/>
      <c r="D57" s="41"/>
      <c r="E57" s="14">
        <f t="shared" si="3"/>
        <v>0</v>
      </c>
    </row>
    <row r="58" spans="2:5" ht="15.75" customHeight="1" x14ac:dyDescent="0.2">
      <c r="B58" s="3" t="s">
        <v>75</v>
      </c>
      <c r="C58" s="42"/>
      <c r="D58" s="42"/>
      <c r="E58" s="20">
        <f t="shared" si="3"/>
        <v>0</v>
      </c>
    </row>
    <row r="59" spans="2:5" ht="15.75" customHeight="1" x14ac:dyDescent="0.2">
      <c r="B59" s="2" t="s">
        <v>76</v>
      </c>
      <c r="C59" s="41"/>
      <c r="D59" s="41"/>
      <c r="E59" s="14">
        <f t="shared" si="3"/>
        <v>0</v>
      </c>
    </row>
    <row r="60" spans="2:5" ht="15.75" customHeight="1" x14ac:dyDescent="0.2">
      <c r="B60" s="3" t="s">
        <v>77</v>
      </c>
      <c r="C60" s="42"/>
      <c r="D60" s="42"/>
      <c r="E60" s="20">
        <f t="shared" si="3"/>
        <v>0</v>
      </c>
    </row>
    <row r="61" spans="2:5" ht="15.75" customHeight="1" x14ac:dyDescent="0.2">
      <c r="B61" s="2" t="s">
        <v>69</v>
      </c>
      <c r="C61" s="41"/>
      <c r="D61" s="41"/>
      <c r="E61" s="14">
        <f t="shared" si="3"/>
        <v>0</v>
      </c>
    </row>
    <row r="62" spans="2:5" ht="18.75" customHeight="1" x14ac:dyDescent="0.2">
      <c r="B62" s="43" t="s">
        <v>78</v>
      </c>
      <c r="C62" s="44"/>
      <c r="D62" s="44"/>
      <c r="E62" s="45">
        <f>SUM(E55:E61)</f>
        <v>0</v>
      </c>
    </row>
    <row r="64" spans="2:5" ht="19.5" customHeight="1" x14ac:dyDescent="0.2">
      <c r="B64" s="91" t="s">
        <v>79</v>
      </c>
      <c r="C64" s="91"/>
      <c r="D64" s="91"/>
      <c r="E64" s="91"/>
    </row>
    <row r="65" spans="2:5" ht="15.75" customHeight="1" x14ac:dyDescent="0.2">
      <c r="B65" s="2" t="s">
        <v>80</v>
      </c>
      <c r="C65" s="41"/>
      <c r="D65" s="41"/>
      <c r="E65" s="14">
        <f t="shared" ref="E65:E70" si="4">C65*D65</f>
        <v>0</v>
      </c>
    </row>
    <row r="66" spans="2:5" ht="15.75" customHeight="1" x14ac:dyDescent="0.2">
      <c r="B66" s="3" t="s">
        <v>81</v>
      </c>
      <c r="C66" s="42"/>
      <c r="D66" s="42"/>
      <c r="E66" s="20">
        <f t="shared" si="4"/>
        <v>0</v>
      </c>
    </row>
    <row r="67" spans="2:5" ht="15.75" customHeight="1" x14ac:dyDescent="0.2">
      <c r="B67" s="2" t="s">
        <v>82</v>
      </c>
      <c r="C67" s="41"/>
      <c r="D67" s="41"/>
      <c r="E67" s="14">
        <f t="shared" si="4"/>
        <v>0</v>
      </c>
    </row>
    <row r="68" spans="2:5" ht="15.75" customHeight="1" x14ac:dyDescent="0.2">
      <c r="B68" s="3" t="s">
        <v>83</v>
      </c>
      <c r="C68" s="42"/>
      <c r="D68" s="42"/>
      <c r="E68" s="20">
        <f t="shared" si="4"/>
        <v>0</v>
      </c>
    </row>
    <row r="69" spans="2:5" ht="15.75" customHeight="1" x14ac:dyDescent="0.2">
      <c r="B69" s="2" t="s">
        <v>84</v>
      </c>
      <c r="C69" s="41">
        <f>160</f>
        <v>160</v>
      </c>
      <c r="D69" s="41"/>
      <c r="E69" s="14">
        <f t="shared" si="4"/>
        <v>0</v>
      </c>
    </row>
    <row r="70" spans="2:5" ht="15.75" customHeight="1" x14ac:dyDescent="0.2">
      <c r="B70" s="3" t="s">
        <v>69</v>
      </c>
      <c r="C70" s="42"/>
      <c r="D70" s="42"/>
      <c r="E70" s="20">
        <f t="shared" si="4"/>
        <v>0</v>
      </c>
    </row>
    <row r="71" spans="2:5" ht="18.75" customHeight="1" x14ac:dyDescent="0.2">
      <c r="B71" s="43" t="s">
        <v>85</v>
      </c>
      <c r="C71" s="44"/>
      <c r="D71" s="44"/>
      <c r="E71" s="45">
        <f>SUM(E65:E70)</f>
        <v>0</v>
      </c>
    </row>
    <row r="73" spans="2:5" ht="6" customHeight="1" x14ac:dyDescent="0.2">
      <c r="B73" s="25"/>
      <c r="C73" s="25"/>
      <c r="D73" s="25"/>
      <c r="E73" s="25"/>
    </row>
    <row r="75" spans="2:5" ht="24" customHeight="1" x14ac:dyDescent="0.2">
      <c r="B75" s="98" t="s">
        <v>86</v>
      </c>
      <c r="C75" s="98"/>
      <c r="D75" s="98"/>
      <c r="E75" s="49">
        <f>E26+E39+E52+E62+E71</f>
        <v>0</v>
      </c>
    </row>
    <row r="77" spans="2:5" ht="13.5" customHeight="1" x14ac:dyDescent="0.2">
      <c r="B77" s="3" t="s">
        <v>87</v>
      </c>
      <c r="C77" s="47"/>
      <c r="D77" s="47"/>
      <c r="E77" s="14">
        <f>E12*E75</f>
        <v>0</v>
      </c>
    </row>
    <row r="79" spans="2:5" ht="6" customHeight="1" x14ac:dyDescent="0.2">
      <c r="B79" s="25"/>
      <c r="C79" s="25"/>
      <c r="D79" s="25"/>
      <c r="E79" s="25"/>
    </row>
    <row r="81" spans="2:5" ht="19.5" customHeight="1" x14ac:dyDescent="0.2">
      <c r="B81" s="6" t="s">
        <v>88</v>
      </c>
    </row>
    <row r="82" spans="2:5" ht="19.5" customHeight="1" x14ac:dyDescent="0.2">
      <c r="B82" s="11" t="s">
        <v>89</v>
      </c>
      <c r="C82" s="95" t="s">
        <v>90</v>
      </c>
      <c r="D82" s="95"/>
      <c r="E82" s="11" t="s">
        <v>91</v>
      </c>
    </row>
    <row r="83" spans="2:5" ht="15.75" customHeight="1" x14ac:dyDescent="0.2">
      <c r="B83" s="2" t="s">
        <v>92</v>
      </c>
      <c r="C83" s="93"/>
      <c r="D83" s="93"/>
      <c r="E83" s="41"/>
    </row>
    <row r="84" spans="2:5" ht="15.75" customHeight="1" x14ac:dyDescent="0.2">
      <c r="B84" s="3" t="s">
        <v>93</v>
      </c>
      <c r="C84" s="96"/>
      <c r="D84" s="96"/>
      <c r="E84" s="42"/>
    </row>
    <row r="85" spans="2:5" ht="15.75" customHeight="1" x14ac:dyDescent="0.2">
      <c r="B85" s="2" t="s">
        <v>94</v>
      </c>
      <c r="C85" s="93"/>
      <c r="D85" s="93"/>
      <c r="E85" s="41"/>
    </row>
    <row r="86" spans="2:5" ht="15.75" customHeight="1" x14ac:dyDescent="0.2">
      <c r="B86" s="3" t="s">
        <v>95</v>
      </c>
      <c r="C86" s="96"/>
      <c r="D86" s="96"/>
      <c r="E86" s="42"/>
    </row>
    <row r="87" spans="2:5" ht="15.75" customHeight="1" x14ac:dyDescent="0.2">
      <c r="B87" s="2" t="s">
        <v>96</v>
      </c>
      <c r="C87" s="93"/>
      <c r="D87" s="93"/>
      <c r="E87" s="41"/>
    </row>
    <row r="88" spans="2:5" ht="18.75" customHeight="1" x14ac:dyDescent="0.2">
      <c r="B88" s="94" t="s">
        <v>97</v>
      </c>
      <c r="C88" s="94"/>
      <c r="D88" s="94"/>
      <c r="E88" s="45">
        <f>SUM(E83:E87)</f>
        <v>0</v>
      </c>
    </row>
    <row r="90" spans="2:5" ht="6" customHeight="1" x14ac:dyDescent="0.2">
      <c r="B90" s="25"/>
      <c r="C90" s="25"/>
      <c r="D90" s="25"/>
      <c r="E90" s="25"/>
    </row>
    <row r="92" spans="2:5" ht="25.5" customHeight="1" x14ac:dyDescent="0.2">
      <c r="B92" s="50" t="s">
        <v>98</v>
      </c>
      <c r="E92" s="51">
        <f>E75+E77-E88</f>
        <v>0</v>
      </c>
    </row>
  </sheetData>
  <mergeCells count="17">
    <mergeCell ref="B1:E1"/>
    <mergeCell ref="B10:D10"/>
    <mergeCell ref="B11:D11"/>
    <mergeCell ref="B12:D12"/>
    <mergeCell ref="B15:E15"/>
    <mergeCell ref="B28:E28"/>
    <mergeCell ref="B41:E41"/>
    <mergeCell ref="B54:E54"/>
    <mergeCell ref="B64:E64"/>
    <mergeCell ref="B75:D75"/>
    <mergeCell ref="C87:D87"/>
    <mergeCell ref="B88:D88"/>
    <mergeCell ref="C82:D82"/>
    <mergeCell ref="C83:D83"/>
    <mergeCell ref="C84:D84"/>
    <mergeCell ref="C85:D85"/>
    <mergeCell ref="C86:D8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69"/>
  <sheetViews>
    <sheetView showGridLines="0" topLeftCell="A4" zoomScale="185" zoomScaleNormal="185" workbookViewId="0">
      <pane xSplit="1" topLeftCell="B1" activePane="topRight" state="frozen"/>
      <selection activeCell="A44" sqref="A44"/>
      <selection pane="topRight" activeCell="B67" sqref="B67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3" width="13" customWidth="1"/>
    <col min="4" max="4" width="10" customWidth="1"/>
    <col min="5" max="5" width="15" customWidth="1"/>
    <col min="6" max="6" width="2" customWidth="1"/>
    <col min="7" max="7" width="32" customWidth="1"/>
    <col min="8" max="9" width="12" customWidth="1"/>
    <col min="10" max="10" width="10" customWidth="1"/>
    <col min="11" max="11" width="14" customWidth="1"/>
  </cols>
  <sheetData>
    <row r="1" spans="2:8" ht="27.75" customHeight="1" x14ac:dyDescent="0.2">
      <c r="B1" s="99" t="s">
        <v>99</v>
      </c>
      <c r="C1" s="99"/>
      <c r="D1" s="99"/>
      <c r="E1" s="99"/>
      <c r="F1" s="99"/>
      <c r="G1" s="99"/>
      <c r="H1" s="99"/>
    </row>
    <row r="2" spans="2:8" ht="13.5" customHeight="1" x14ac:dyDescent="0.2">
      <c r="B2" s="100" t="s">
        <v>100</v>
      </c>
      <c r="C2" s="100"/>
      <c r="D2" s="100"/>
      <c r="E2" s="40"/>
    </row>
    <row r="3" spans="2:8" ht="13.5" customHeight="1" x14ac:dyDescent="0.2">
      <c r="B3" s="101" t="s">
        <v>101</v>
      </c>
      <c r="C3" s="101"/>
      <c r="D3" s="101"/>
      <c r="E3" s="40"/>
    </row>
    <row r="4" spans="2:8" ht="13.5" customHeight="1" x14ac:dyDescent="0.2">
      <c r="B4" s="100" t="s">
        <v>102</v>
      </c>
      <c r="C4" s="100"/>
      <c r="D4" s="100"/>
      <c r="E4" s="40"/>
    </row>
    <row r="5" spans="2:8" ht="13.5" customHeight="1" x14ac:dyDescent="0.2">
      <c r="B5" s="101" t="s">
        <v>103</v>
      </c>
      <c r="C5" s="101"/>
      <c r="D5" s="101"/>
      <c r="E5" s="40"/>
    </row>
    <row r="7" spans="2:8" ht="15" customHeight="1" x14ac:dyDescent="0.2">
      <c r="B7" s="9" t="s">
        <v>27</v>
      </c>
      <c r="C7" s="37">
        <f>Summary!C4</f>
        <v>0</v>
      </c>
    </row>
    <row r="8" spans="2:8" ht="15" customHeight="1" x14ac:dyDescent="0.2">
      <c r="B8" s="9" t="s">
        <v>104</v>
      </c>
      <c r="C8" s="38"/>
    </row>
    <row r="9" spans="2:8" ht="15" customHeight="1" x14ac:dyDescent="0.2">
      <c r="B9" s="9" t="s">
        <v>105</v>
      </c>
      <c r="C9" s="10"/>
    </row>
    <row r="10" spans="2:8" ht="15" customHeight="1" x14ac:dyDescent="0.2">
      <c r="B10" s="9" t="s">
        <v>106</v>
      </c>
      <c r="C10" s="10"/>
    </row>
    <row r="11" spans="2:8" ht="15" customHeight="1" x14ac:dyDescent="0.2">
      <c r="B11" s="9" t="s">
        <v>107</v>
      </c>
      <c r="C11" s="10"/>
    </row>
    <row r="13" spans="2:8" ht="19.5" customHeight="1" x14ac:dyDescent="0.2">
      <c r="B13" s="11" t="s">
        <v>108</v>
      </c>
      <c r="C13" s="11" t="s">
        <v>109</v>
      </c>
      <c r="D13" s="11" t="s">
        <v>110</v>
      </c>
      <c r="E13" s="11" t="s">
        <v>111</v>
      </c>
      <c r="G13" s="91" t="s">
        <v>112</v>
      </c>
      <c r="H13" s="91"/>
    </row>
    <row r="14" spans="2:8" ht="15.75" customHeight="1" x14ac:dyDescent="0.2">
      <c r="B14" s="97" t="s">
        <v>113</v>
      </c>
      <c r="C14" s="97"/>
      <c r="D14" s="97"/>
      <c r="E14" s="97"/>
      <c r="G14" s="2" t="s">
        <v>114</v>
      </c>
      <c r="H14" s="41"/>
    </row>
    <row r="15" spans="2:8" ht="15.75" customHeight="1" x14ac:dyDescent="0.2">
      <c r="B15" s="2" t="s">
        <v>115</v>
      </c>
      <c r="C15" s="41"/>
      <c r="D15" s="41"/>
      <c r="E15" s="14">
        <f>C15*D15</f>
        <v>0</v>
      </c>
      <c r="G15" s="3" t="s">
        <v>116</v>
      </c>
      <c r="H15" s="42"/>
    </row>
    <row r="16" spans="2:8" ht="15.75" customHeight="1" x14ac:dyDescent="0.2">
      <c r="B16" s="3" t="s">
        <v>117</v>
      </c>
      <c r="C16" s="42"/>
      <c r="D16" s="42"/>
      <c r="E16" s="20">
        <f>C16*D16</f>
        <v>0</v>
      </c>
      <c r="G16" s="2" t="s">
        <v>118</v>
      </c>
      <c r="H16" s="41"/>
    </row>
    <row r="17" spans="2:8" ht="15.75" customHeight="1" x14ac:dyDescent="0.2">
      <c r="B17" s="2" t="s">
        <v>119</v>
      </c>
      <c r="C17" s="41"/>
      <c r="D17" s="41"/>
      <c r="E17" s="14">
        <f>C17*D17</f>
        <v>0</v>
      </c>
      <c r="G17" s="52" t="s">
        <v>120</v>
      </c>
      <c r="H17" s="53">
        <f>H14-H15-H16</f>
        <v>0</v>
      </c>
    </row>
    <row r="18" spans="2:8" ht="15.75" customHeight="1" x14ac:dyDescent="0.2">
      <c r="B18" s="3" t="s">
        <v>121</v>
      </c>
      <c r="C18" s="42"/>
      <c r="D18" s="42"/>
      <c r="E18" s="20">
        <f>C18*D18</f>
        <v>0</v>
      </c>
    </row>
    <row r="19" spans="2:8" ht="19.5" customHeight="1" x14ac:dyDescent="0.2">
      <c r="B19" s="2" t="s">
        <v>122</v>
      </c>
      <c r="C19" s="41"/>
      <c r="D19" s="41"/>
      <c r="E19" s="14">
        <f>C19*D19</f>
        <v>0</v>
      </c>
      <c r="G19" s="91" t="s">
        <v>123</v>
      </c>
      <c r="H19" s="91"/>
    </row>
    <row r="20" spans="2:8" ht="15.75" customHeight="1" x14ac:dyDescent="0.2">
      <c r="G20" s="3" t="s">
        <v>124</v>
      </c>
      <c r="H20" s="42"/>
    </row>
    <row r="21" spans="2:8" ht="15.75" customHeight="1" x14ac:dyDescent="0.2">
      <c r="B21" s="3" t="s">
        <v>125</v>
      </c>
      <c r="C21" s="42"/>
      <c r="D21" s="42"/>
      <c r="E21" s="20">
        <f>C20*D20</f>
        <v>0</v>
      </c>
      <c r="G21" s="2" t="s">
        <v>126</v>
      </c>
      <c r="H21" s="41"/>
    </row>
    <row r="22" spans="2:8" ht="15" customHeight="1" x14ac:dyDescent="0.2">
      <c r="B22" s="43" t="s">
        <v>127</v>
      </c>
      <c r="C22" s="44"/>
      <c r="D22" s="44"/>
      <c r="E22" s="45">
        <f>SUM(E15:E20)</f>
        <v>0</v>
      </c>
      <c r="G22" s="3" t="s">
        <v>128</v>
      </c>
      <c r="H22" s="20">
        <f>H21*1.25</f>
        <v>0</v>
      </c>
    </row>
    <row r="23" spans="2:8" ht="19.5" customHeight="1" x14ac:dyDescent="0.2">
      <c r="B23" s="103"/>
      <c r="C23" s="103"/>
      <c r="D23" s="103"/>
      <c r="E23" s="103"/>
      <c r="G23" s="103"/>
      <c r="H23" s="103"/>
    </row>
    <row r="24" spans="2:8" ht="15.75" customHeight="1" x14ac:dyDescent="0.2">
      <c r="B24" s="5" t="s">
        <v>129</v>
      </c>
      <c r="C24" s="54"/>
      <c r="D24" s="54"/>
      <c r="E24" s="55"/>
      <c r="G24" s="6" t="s">
        <v>130</v>
      </c>
      <c r="H24" s="55"/>
    </row>
    <row r="25" spans="2:8" ht="15.75" customHeight="1" x14ac:dyDescent="0.2">
      <c r="G25" s="2" t="s">
        <v>131</v>
      </c>
      <c r="H25" s="41"/>
    </row>
    <row r="26" spans="2:8" ht="15.75" customHeight="1" x14ac:dyDescent="0.2">
      <c r="G26" s="56" t="s">
        <v>132</v>
      </c>
      <c r="H26" s="20">
        <f>H20*H25</f>
        <v>0</v>
      </c>
    </row>
    <row r="27" spans="2:8" ht="15.75" customHeight="1" x14ac:dyDescent="0.2">
      <c r="B27" s="2" t="s">
        <v>40</v>
      </c>
      <c r="C27" s="41"/>
      <c r="D27" s="41"/>
      <c r="E27" s="14">
        <f t="shared" ref="E27:E32" si="0">C24*D24</f>
        <v>0</v>
      </c>
      <c r="G27" s="2" t="s">
        <v>133</v>
      </c>
      <c r="H27" s="41"/>
    </row>
    <row r="28" spans="2:8" ht="18.75" customHeight="1" x14ac:dyDescent="0.2">
      <c r="B28" s="3" t="s">
        <v>41</v>
      </c>
      <c r="C28" s="42"/>
      <c r="D28" s="42"/>
      <c r="E28" s="20">
        <f t="shared" si="0"/>
        <v>0</v>
      </c>
      <c r="G28" s="57" t="s">
        <v>134</v>
      </c>
      <c r="H28" s="14">
        <f>H21*H27</f>
        <v>0</v>
      </c>
    </row>
    <row r="29" spans="2:8" ht="15.75" customHeight="1" x14ac:dyDescent="0.2">
      <c r="B29" s="2" t="s">
        <v>135</v>
      </c>
      <c r="C29" s="41"/>
      <c r="D29" s="41"/>
      <c r="E29" s="14">
        <f t="shared" si="0"/>
        <v>0</v>
      </c>
      <c r="G29" s="3" t="s">
        <v>136</v>
      </c>
      <c r="H29" s="42"/>
    </row>
    <row r="30" spans="2:8" ht="19.5" customHeight="1" x14ac:dyDescent="0.2">
      <c r="B30" s="3" t="s">
        <v>137</v>
      </c>
      <c r="C30" s="42"/>
      <c r="D30" s="42"/>
      <c r="E30" s="20">
        <f t="shared" si="0"/>
        <v>0</v>
      </c>
      <c r="G30" s="56" t="s">
        <v>138</v>
      </c>
      <c r="H30" s="58">
        <f>H22*H29</f>
        <v>0</v>
      </c>
    </row>
    <row r="31" spans="2:8" ht="13.5" customHeight="1" x14ac:dyDescent="0.2">
      <c r="B31" s="2" t="s">
        <v>44</v>
      </c>
      <c r="C31" s="41"/>
      <c r="D31" s="41"/>
      <c r="E31" s="14">
        <f t="shared" si="0"/>
        <v>0</v>
      </c>
      <c r="G31" s="43" t="s">
        <v>139</v>
      </c>
      <c r="H31" s="45">
        <f>H26+H28+H30</f>
        <v>0</v>
      </c>
    </row>
    <row r="32" spans="2:8" ht="13.5" customHeight="1" x14ac:dyDescent="0.2">
      <c r="B32" s="3" t="s">
        <v>44</v>
      </c>
      <c r="C32" s="42"/>
      <c r="D32" s="42"/>
      <c r="E32" s="20">
        <f t="shared" si="0"/>
        <v>0</v>
      </c>
    </row>
    <row r="33" spans="2:8" ht="15.75" customHeight="1" x14ac:dyDescent="0.2">
      <c r="B33" s="43" t="s">
        <v>140</v>
      </c>
      <c r="C33" s="44"/>
      <c r="D33" s="44"/>
      <c r="E33" s="45">
        <f>SUM(E24:E29)</f>
        <v>0</v>
      </c>
      <c r="G33" s="6" t="s">
        <v>141</v>
      </c>
      <c r="H33" s="55"/>
    </row>
    <row r="34" spans="2:8" ht="18.75" customHeight="1" x14ac:dyDescent="0.2">
      <c r="B34" s="46" t="s">
        <v>46</v>
      </c>
      <c r="C34" s="47"/>
      <c r="D34" s="47"/>
      <c r="E34" s="14">
        <f>E2*(E24+E25+E26+E27)</f>
        <v>0</v>
      </c>
      <c r="G34" s="2" t="s">
        <v>142</v>
      </c>
      <c r="H34" s="14">
        <f>0.16*H31</f>
        <v>0</v>
      </c>
    </row>
    <row r="35" spans="2:8" ht="18.75" customHeight="1" x14ac:dyDescent="0.2">
      <c r="B35" s="104" t="s">
        <v>47</v>
      </c>
      <c r="C35" s="104"/>
      <c r="D35" s="104"/>
      <c r="E35" s="104"/>
      <c r="G35" s="3" t="s">
        <v>143</v>
      </c>
      <c r="H35" s="42"/>
    </row>
    <row r="36" spans="2:8" ht="15.75" customHeight="1" x14ac:dyDescent="0.2">
      <c r="B36" s="43" t="s">
        <v>48</v>
      </c>
      <c r="C36" s="44"/>
      <c r="D36" s="44"/>
      <c r="E36" s="45">
        <f>E30+E31+E32</f>
        <v>0</v>
      </c>
      <c r="G36" s="2" t="s">
        <v>144</v>
      </c>
      <c r="H36" s="41"/>
    </row>
    <row r="37" spans="2:8" ht="19.5" customHeight="1" x14ac:dyDescent="0.2">
      <c r="G37" s="43" t="s">
        <v>145</v>
      </c>
      <c r="H37" s="59">
        <f>SUM(H34:H36)</f>
        <v>0</v>
      </c>
    </row>
    <row r="38" spans="2:8" ht="15.75" customHeight="1" x14ac:dyDescent="0.2">
      <c r="B38" s="5" t="s">
        <v>146</v>
      </c>
      <c r="C38" s="54"/>
      <c r="D38" s="54"/>
      <c r="E38" s="55"/>
      <c r="G38" s="43" t="s">
        <v>147</v>
      </c>
      <c r="H38" s="45">
        <f>H28-H34</f>
        <v>0</v>
      </c>
    </row>
    <row r="39" spans="2:8" ht="15.75" customHeight="1" x14ac:dyDescent="0.2">
      <c r="B39" s="2" t="s">
        <v>148</v>
      </c>
      <c r="C39" s="41"/>
      <c r="D39" s="41"/>
      <c r="E39" s="14">
        <f t="shared" ref="E39:E44" si="1">C36*D36</f>
        <v>0</v>
      </c>
    </row>
    <row r="40" spans="2:8" ht="18.75" customHeight="1" x14ac:dyDescent="0.2">
      <c r="B40" s="3" t="s">
        <v>149</v>
      </c>
      <c r="C40" s="42"/>
      <c r="D40" s="42"/>
      <c r="E40" s="20">
        <f t="shared" si="1"/>
        <v>0</v>
      </c>
      <c r="G40" s="6" t="s">
        <v>150</v>
      </c>
      <c r="H40" s="55"/>
    </row>
    <row r="41" spans="2:8" ht="15.75" customHeight="1" x14ac:dyDescent="0.2">
      <c r="B41" s="2" t="s">
        <v>151</v>
      </c>
      <c r="C41" s="41"/>
      <c r="D41" s="41"/>
      <c r="E41" s="14">
        <f t="shared" si="1"/>
        <v>0</v>
      </c>
      <c r="G41" s="2" t="s">
        <v>152</v>
      </c>
      <c r="H41" s="41"/>
    </row>
    <row r="42" spans="2:8" ht="19.5" customHeight="1" x14ac:dyDescent="0.2">
      <c r="B42" s="3" t="s">
        <v>153</v>
      </c>
      <c r="C42" s="42"/>
      <c r="D42" s="42"/>
      <c r="E42" s="20">
        <f t="shared" si="1"/>
        <v>0</v>
      </c>
      <c r="G42" s="105"/>
      <c r="H42" s="105"/>
    </row>
    <row r="43" spans="2:8" ht="15.75" customHeight="1" x14ac:dyDescent="0.2">
      <c r="B43" s="2" t="s">
        <v>154</v>
      </c>
      <c r="C43" s="41"/>
      <c r="D43" s="41"/>
      <c r="E43" s="14">
        <f t="shared" si="1"/>
        <v>0</v>
      </c>
      <c r="G43" s="43" t="s">
        <v>155</v>
      </c>
      <c r="H43" s="45">
        <f>H38+H39</f>
        <v>0</v>
      </c>
    </row>
    <row r="44" spans="2:8" ht="15.75" customHeight="1" x14ac:dyDescent="0.2">
      <c r="B44" s="3" t="s">
        <v>156</v>
      </c>
      <c r="C44" s="42"/>
      <c r="D44" s="42"/>
      <c r="E44" s="20">
        <f t="shared" si="1"/>
        <v>0</v>
      </c>
    </row>
    <row r="45" spans="2:8" ht="19.5" customHeight="1" x14ac:dyDescent="0.2">
      <c r="B45" s="102" t="s">
        <v>69</v>
      </c>
      <c r="C45" s="102"/>
      <c r="D45" s="102"/>
      <c r="E45" s="102"/>
      <c r="G45" s="6" t="s">
        <v>157</v>
      </c>
      <c r="H45" s="55"/>
    </row>
    <row r="46" spans="2:8" ht="19.5" customHeight="1" x14ac:dyDescent="0.2">
      <c r="B46" s="43" t="s">
        <v>158</v>
      </c>
      <c r="C46" s="44"/>
      <c r="D46" s="44"/>
      <c r="E46" s="45">
        <f>SUM(E36:E42)</f>
        <v>0</v>
      </c>
      <c r="G46" s="102" t="s">
        <v>159</v>
      </c>
      <c r="H46" s="102"/>
    </row>
    <row r="47" spans="2:8" ht="15.75" customHeight="1" x14ac:dyDescent="0.2">
      <c r="G47" s="3" t="s">
        <v>160</v>
      </c>
      <c r="H47" s="20">
        <f>E5*H35</f>
        <v>0</v>
      </c>
    </row>
    <row r="48" spans="2:8" ht="15.75" customHeight="1" x14ac:dyDescent="0.2">
      <c r="B48" s="5" t="s">
        <v>161</v>
      </c>
      <c r="C48" s="54"/>
      <c r="D48" s="54"/>
      <c r="E48" s="55"/>
    </row>
    <row r="49" spans="2:11" ht="15.75" customHeight="1" x14ac:dyDescent="0.2">
      <c r="B49" s="2" t="s">
        <v>162</v>
      </c>
      <c r="C49" s="41"/>
      <c r="D49" s="41"/>
      <c r="E49" s="14">
        <f>C46*D46</f>
        <v>0</v>
      </c>
      <c r="G49" s="5" t="s">
        <v>163</v>
      </c>
      <c r="H49" s="55"/>
    </row>
    <row r="50" spans="2:11" ht="19.5" customHeight="1" x14ac:dyDescent="0.2">
      <c r="B50" s="3" t="s">
        <v>164</v>
      </c>
      <c r="C50" s="42"/>
      <c r="D50" s="42"/>
      <c r="E50" s="20">
        <f>C47*D47</f>
        <v>0</v>
      </c>
      <c r="G50" s="105" t="s">
        <v>165</v>
      </c>
      <c r="H50" s="105"/>
      <c r="I50" s="105"/>
      <c r="J50" s="105"/>
      <c r="K50" s="105"/>
    </row>
    <row r="51" spans="2:11" ht="18" customHeight="1" x14ac:dyDescent="0.2">
      <c r="B51" s="2" t="s">
        <v>166</v>
      </c>
      <c r="C51" s="41"/>
      <c r="D51" s="41"/>
      <c r="E51" s="14">
        <f>C48*D48</f>
        <v>0</v>
      </c>
      <c r="G51" s="2" t="s">
        <v>167</v>
      </c>
      <c r="H51" s="60" t="str">
        <f>IFERROR(ROUND(E66/((H35)/(H24+H26+1))/H14,3),"fill data")</f>
        <v>fill data</v>
      </c>
    </row>
    <row r="52" spans="2:11" ht="15.75" customHeight="1" x14ac:dyDescent="0.2">
      <c r="B52" s="3" t="s">
        <v>168</v>
      </c>
      <c r="C52" s="42"/>
      <c r="D52" s="42"/>
      <c r="E52" s="20">
        <f>C49*D49</f>
        <v>0</v>
      </c>
    </row>
    <row r="53" spans="2:11" ht="15.75" customHeight="1" x14ac:dyDescent="0.2">
      <c r="B53" s="102" t="s">
        <v>169</v>
      </c>
      <c r="C53" s="102"/>
      <c r="D53" s="102"/>
      <c r="E53" s="102"/>
      <c r="G53" s="6" t="s">
        <v>170</v>
      </c>
      <c r="H53" s="54"/>
      <c r="I53" s="54"/>
      <c r="J53" s="54"/>
      <c r="K53" s="55"/>
    </row>
    <row r="54" spans="2:11" ht="15.75" customHeight="1" x14ac:dyDescent="0.2">
      <c r="B54" s="43" t="s">
        <v>171</v>
      </c>
      <c r="C54" s="44"/>
      <c r="D54" s="44"/>
      <c r="E54" s="45">
        <f>SUM(E46:E50)</f>
        <v>0</v>
      </c>
      <c r="G54" s="26" t="s">
        <v>172</v>
      </c>
      <c r="H54" s="26" t="s">
        <v>109</v>
      </c>
      <c r="I54" s="26" t="s">
        <v>173</v>
      </c>
      <c r="J54" s="26" t="s">
        <v>174</v>
      </c>
      <c r="K54" s="26" t="s">
        <v>175</v>
      </c>
    </row>
    <row r="55" spans="2:11" ht="15.75" customHeight="1" x14ac:dyDescent="0.2">
      <c r="G55" s="2" t="s">
        <v>176</v>
      </c>
      <c r="H55" s="41"/>
      <c r="I55" s="41"/>
      <c r="J55" s="41"/>
      <c r="K55" s="14">
        <f>(I55-H55)*J55</f>
        <v>0</v>
      </c>
    </row>
    <row r="56" spans="2:11" ht="18.75" customHeight="1" x14ac:dyDescent="0.2">
      <c r="B56" s="5" t="s">
        <v>177</v>
      </c>
      <c r="C56" s="54"/>
      <c r="D56" s="54"/>
      <c r="E56" s="55"/>
      <c r="G56" s="3" t="s">
        <v>178</v>
      </c>
      <c r="H56" s="42"/>
      <c r="I56" s="42"/>
      <c r="J56" s="42"/>
      <c r="K56" s="20">
        <f>(I56-H56)*J56</f>
        <v>0</v>
      </c>
    </row>
    <row r="57" spans="2:11" ht="18.75" customHeight="1" x14ac:dyDescent="0.2">
      <c r="B57" s="2" t="s">
        <v>179</v>
      </c>
      <c r="C57" s="41"/>
      <c r="D57" s="41"/>
      <c r="E57" s="14">
        <f t="shared" ref="E57:E64" si="2">C54*D54</f>
        <v>0</v>
      </c>
      <c r="G57" s="2" t="s">
        <v>180</v>
      </c>
      <c r="H57" s="41"/>
      <c r="I57" s="41"/>
      <c r="J57" s="41"/>
      <c r="K57" s="14">
        <f>(I57-H57)*J57</f>
        <v>0</v>
      </c>
    </row>
    <row r="58" spans="2:11" ht="15.75" customHeight="1" x14ac:dyDescent="0.2">
      <c r="B58" s="3" t="s">
        <v>181</v>
      </c>
      <c r="C58" s="42"/>
      <c r="D58" s="42"/>
      <c r="E58" s="20">
        <f t="shared" si="2"/>
        <v>0</v>
      </c>
      <c r="G58" s="3" t="s">
        <v>182</v>
      </c>
      <c r="H58" s="42"/>
      <c r="I58" s="42"/>
      <c r="J58" s="42"/>
      <c r="K58" s="20">
        <f>(I58-H58)*J58</f>
        <v>0</v>
      </c>
    </row>
    <row r="59" spans="2:11" ht="27.75" customHeight="1" x14ac:dyDescent="0.2">
      <c r="B59" s="2" t="s">
        <v>55</v>
      </c>
      <c r="C59" s="41"/>
      <c r="D59" s="41"/>
      <c r="E59" s="14">
        <f t="shared" si="2"/>
        <v>0</v>
      </c>
      <c r="G59" s="43" t="s">
        <v>183</v>
      </c>
      <c r="H59" s="61"/>
      <c r="I59" s="36"/>
      <c r="J59" s="36"/>
      <c r="K59" s="45">
        <f>SUM(K55:K58)</f>
        <v>0</v>
      </c>
    </row>
    <row r="60" spans="2:11" ht="15.75" customHeight="1" x14ac:dyDescent="0.2">
      <c r="B60" s="3"/>
      <c r="C60" s="42"/>
      <c r="D60" s="42"/>
      <c r="E60" s="20">
        <f t="shared" si="2"/>
        <v>0</v>
      </c>
      <c r="G60" s="62"/>
      <c r="H60" s="63"/>
    </row>
    <row r="61" spans="2:11" ht="13.5" customHeight="1" x14ac:dyDescent="0.2">
      <c r="B61" s="2"/>
      <c r="C61" s="41"/>
      <c r="D61" s="41"/>
      <c r="E61" s="14">
        <f t="shared" si="2"/>
        <v>0</v>
      </c>
    </row>
    <row r="62" spans="2:11" ht="18.75" customHeight="1" x14ac:dyDescent="0.2">
      <c r="B62" s="3" t="s">
        <v>184</v>
      </c>
      <c r="C62" s="42"/>
      <c r="D62" s="42"/>
      <c r="E62" s="20">
        <f t="shared" si="2"/>
        <v>0</v>
      </c>
      <c r="G62" s="64" t="s">
        <v>185</v>
      </c>
      <c r="H62" s="49">
        <f>K65-E69</f>
        <v>0</v>
      </c>
    </row>
    <row r="63" spans="2:11" ht="15" customHeight="1" x14ac:dyDescent="0.2">
      <c r="B63" s="2"/>
      <c r="C63" s="41"/>
      <c r="D63" s="41"/>
      <c r="E63" s="14">
        <f t="shared" si="2"/>
        <v>0</v>
      </c>
    </row>
    <row r="64" spans="2:11" ht="6" customHeight="1" x14ac:dyDescent="0.2">
      <c r="B64" s="3" t="s">
        <v>69</v>
      </c>
      <c r="C64" s="42"/>
      <c r="D64" s="42"/>
      <c r="E64" s="20">
        <f t="shared" si="2"/>
        <v>0</v>
      </c>
    </row>
    <row r="65" spans="2:11" ht="15" customHeight="1" x14ac:dyDescent="0.2">
      <c r="B65" s="43" t="s">
        <v>186</v>
      </c>
      <c r="C65" s="44"/>
      <c r="D65" s="44"/>
      <c r="E65" s="45">
        <f>SUM(E54:E61)</f>
        <v>0</v>
      </c>
      <c r="G65" s="43" t="s">
        <v>187</v>
      </c>
      <c r="K65" s="43">
        <f>K59+H43+H31</f>
        <v>0</v>
      </c>
    </row>
    <row r="66" spans="2:11" ht="24" customHeight="1" x14ac:dyDescent="0.2">
      <c r="B66" s="103"/>
      <c r="C66" s="103"/>
      <c r="D66" s="103"/>
    </row>
    <row r="67" spans="2:11" ht="15" customHeight="1" x14ac:dyDescent="0.2">
      <c r="B67" s="25"/>
      <c r="C67" s="25"/>
      <c r="D67" s="25"/>
      <c r="E67" s="25"/>
    </row>
    <row r="69" spans="2:11" ht="15" customHeight="1" x14ac:dyDescent="0.2">
      <c r="B69" s="1" t="s">
        <v>188</v>
      </c>
      <c r="C69" s="54"/>
      <c r="D69" s="55"/>
      <c r="E69" s="49">
        <f>E66+E54+E46+E36+E22</f>
        <v>0</v>
      </c>
    </row>
  </sheetData>
  <mergeCells count="17">
    <mergeCell ref="B1:H1"/>
    <mergeCell ref="B2:D2"/>
    <mergeCell ref="B3:D3"/>
    <mergeCell ref="B4:D4"/>
    <mergeCell ref="B5:D5"/>
    <mergeCell ref="G13:H13"/>
    <mergeCell ref="B14:E14"/>
    <mergeCell ref="G19:H19"/>
    <mergeCell ref="B23:E23"/>
    <mergeCell ref="G23:H23"/>
    <mergeCell ref="B53:E53"/>
    <mergeCell ref="B66:D66"/>
    <mergeCell ref="B35:E35"/>
    <mergeCell ref="G42:H42"/>
    <mergeCell ref="B45:E45"/>
    <mergeCell ref="G46:H46"/>
    <mergeCell ref="G50:K5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39"/>
  <sheetViews>
    <sheetView showGridLines="0" topLeftCell="A92" zoomScale="275" zoomScaleNormal="275" workbookViewId="0">
      <pane xSplit="1" topLeftCell="B1" activePane="topRight" state="frozen"/>
      <selection activeCell="A95" sqref="A95"/>
      <selection pane="topRight" activeCell="A92" sqref="A92"/>
    </sheetView>
  </sheetViews>
  <sheetFormatPr baseColWidth="10" defaultColWidth="8.6640625" defaultRowHeight="15" x14ac:dyDescent="0.2"/>
  <cols>
    <col min="1" max="1" width="2" customWidth="1"/>
    <col min="2" max="2" width="32.1640625" customWidth="1"/>
    <col min="3" max="3" width="14" customWidth="1"/>
    <col min="4" max="4" width="16" customWidth="1"/>
    <col min="5" max="5" width="49.33203125" customWidth="1"/>
    <col min="6" max="6" width="16" customWidth="1"/>
    <col min="7" max="7" width="20" customWidth="1"/>
  </cols>
  <sheetData>
    <row r="1" spans="2:5" ht="27.75" customHeight="1" x14ac:dyDescent="0.2">
      <c r="B1" s="99" t="s">
        <v>189</v>
      </c>
      <c r="C1" s="99"/>
      <c r="D1" s="99"/>
      <c r="E1" s="99"/>
    </row>
    <row r="2" spans="2:5" ht="13.5" customHeight="1" x14ac:dyDescent="0.2">
      <c r="B2" s="100" t="s">
        <v>100</v>
      </c>
      <c r="C2" s="100"/>
      <c r="D2" s="100"/>
      <c r="E2" s="40"/>
    </row>
    <row r="3" spans="2:5" ht="13.5" customHeight="1" x14ac:dyDescent="0.2">
      <c r="B3" s="101" t="s">
        <v>101</v>
      </c>
      <c r="C3" s="101"/>
      <c r="D3" s="101"/>
      <c r="E3" s="40"/>
    </row>
    <row r="4" spans="2:5" ht="13.5" customHeight="1" x14ac:dyDescent="0.2">
      <c r="B4" s="100" t="s">
        <v>102</v>
      </c>
      <c r="C4" s="100"/>
      <c r="D4" s="100"/>
      <c r="E4" s="40"/>
    </row>
    <row r="5" spans="2:5" ht="13.5" customHeight="1" x14ac:dyDescent="0.2">
      <c r="B5" s="101" t="s">
        <v>103</v>
      </c>
      <c r="C5" s="101"/>
      <c r="D5" s="101"/>
      <c r="E5" s="40"/>
    </row>
    <row r="7" spans="2:5" ht="15" customHeight="1" x14ac:dyDescent="0.2">
      <c r="B7" s="9" t="s">
        <v>27</v>
      </c>
      <c r="C7" s="37">
        <f>Summary!C4</f>
        <v>0</v>
      </c>
    </row>
    <row r="8" spans="2:5" ht="15" customHeight="1" x14ac:dyDescent="0.2">
      <c r="B8" s="9" t="s">
        <v>3</v>
      </c>
      <c r="C8" s="10"/>
    </row>
    <row r="9" spans="2:5" ht="15" customHeight="1" x14ac:dyDescent="0.2">
      <c r="B9" s="9" t="s">
        <v>28</v>
      </c>
      <c r="C9" s="38"/>
    </row>
    <row r="10" spans="2:5" ht="15" customHeight="1" x14ac:dyDescent="0.2">
      <c r="B10" s="9" t="s">
        <v>29</v>
      </c>
      <c r="C10" s="38"/>
    </row>
    <row r="11" spans="2:5" ht="15" customHeight="1" x14ac:dyDescent="0.2">
      <c r="B11" s="9" t="s">
        <v>30</v>
      </c>
      <c r="C11" s="39" t="str">
        <f>IF(AND(C9&lt;&gt;"",C10&lt;&gt;""),C10-C9,"")</f>
        <v/>
      </c>
      <c r="D11" s="32" t="str">
        <f>IF(AND(C9&lt;&gt;"",C10&lt;&gt;""),ROUND((C10-C9)/30,1),"")</f>
        <v/>
      </c>
    </row>
    <row r="12" spans="2:5" ht="15" customHeight="1" x14ac:dyDescent="0.2">
      <c r="B12" s="9" t="s">
        <v>190</v>
      </c>
      <c r="C12" s="65"/>
    </row>
    <row r="14" spans="2:5" ht="19.5" customHeight="1" x14ac:dyDescent="0.2">
      <c r="B14" s="11" t="s">
        <v>36</v>
      </c>
      <c r="C14" s="11" t="s">
        <v>191</v>
      </c>
      <c r="D14" s="11" t="s">
        <v>192</v>
      </c>
      <c r="E14" s="11"/>
    </row>
    <row r="15" spans="2:5" ht="6" customHeight="1" x14ac:dyDescent="0.2">
      <c r="B15" s="25"/>
      <c r="C15" s="25"/>
      <c r="D15" s="25"/>
      <c r="E15" s="25"/>
    </row>
    <row r="17" spans="2:5" ht="19.5" customHeight="1" x14ac:dyDescent="0.2">
      <c r="B17" s="97" t="s">
        <v>193</v>
      </c>
      <c r="C17" s="97"/>
      <c r="D17" s="97"/>
      <c r="E17" s="97"/>
    </row>
    <row r="19" spans="2:5" ht="19.5" customHeight="1" x14ac:dyDescent="0.2">
      <c r="B19" s="97" t="s">
        <v>194</v>
      </c>
      <c r="C19" s="97"/>
      <c r="D19" s="97"/>
      <c r="E19" s="97"/>
    </row>
    <row r="20" spans="2:5" ht="15.75" customHeight="1" x14ac:dyDescent="0.2">
      <c r="B20" s="2" t="s">
        <v>194</v>
      </c>
      <c r="C20" s="41"/>
      <c r="D20" s="14">
        <f>C20*$C$12</f>
        <v>0</v>
      </c>
      <c r="E20" s="47"/>
    </row>
    <row r="21" spans="2:5" ht="18.75" customHeight="1" x14ac:dyDescent="0.2">
      <c r="B21" s="43" t="s">
        <v>45</v>
      </c>
      <c r="C21" s="44"/>
      <c r="D21" s="45">
        <f>SUM(D20:D20)</f>
        <v>0</v>
      </c>
      <c r="E21" s="44"/>
    </row>
    <row r="22" spans="2:5" ht="13.5" customHeight="1" x14ac:dyDescent="0.2">
      <c r="B22" s="46" t="s">
        <v>57</v>
      </c>
      <c r="C22" s="47"/>
      <c r="D22" s="14">
        <f>E2*D21</f>
        <v>0</v>
      </c>
      <c r="E22" s="47"/>
    </row>
    <row r="23" spans="2:5" ht="13.5" customHeight="1" x14ac:dyDescent="0.2">
      <c r="B23" s="4" t="s">
        <v>195</v>
      </c>
      <c r="C23" s="48"/>
      <c r="D23" s="20">
        <f>E3*D21</f>
        <v>0</v>
      </c>
      <c r="E23" s="48"/>
    </row>
    <row r="24" spans="2:5" ht="18.75" customHeight="1" x14ac:dyDescent="0.2">
      <c r="B24" s="43" t="s">
        <v>196</v>
      </c>
      <c r="C24" s="44"/>
      <c r="D24" s="45">
        <f>D21+D22+D23</f>
        <v>0</v>
      </c>
      <c r="E24" s="44"/>
    </row>
    <row r="26" spans="2:5" ht="19.5" customHeight="1" x14ac:dyDescent="0.2">
      <c r="B26" s="97" t="s">
        <v>197</v>
      </c>
      <c r="C26" s="97"/>
      <c r="D26" s="97"/>
      <c r="E26" s="97"/>
    </row>
    <row r="27" spans="2:5" ht="15.75" customHeight="1" x14ac:dyDescent="0.2">
      <c r="B27" s="2" t="s">
        <v>40</v>
      </c>
      <c r="C27" s="41"/>
      <c r="D27" s="14">
        <f t="shared" ref="D27:D32" si="0">C27*$C$12</f>
        <v>0</v>
      </c>
      <c r="E27" s="47"/>
    </row>
    <row r="28" spans="2:5" ht="15.75" customHeight="1" x14ac:dyDescent="0.2">
      <c r="B28" s="3" t="s">
        <v>41</v>
      </c>
      <c r="C28" s="42"/>
      <c r="D28" s="20">
        <f t="shared" si="0"/>
        <v>0</v>
      </c>
      <c r="E28" s="48"/>
    </row>
    <row r="29" spans="2:5" ht="15.75" customHeight="1" x14ac:dyDescent="0.2">
      <c r="B29" s="2" t="s">
        <v>137</v>
      </c>
      <c r="C29" s="41"/>
      <c r="D29" s="14">
        <f t="shared" si="0"/>
        <v>0</v>
      </c>
      <c r="E29" s="47"/>
    </row>
    <row r="30" spans="2:5" ht="15.75" customHeight="1" x14ac:dyDescent="0.2">
      <c r="B30" s="3" t="s">
        <v>43</v>
      </c>
      <c r="C30" s="42"/>
      <c r="D30" s="20">
        <f t="shared" si="0"/>
        <v>0</v>
      </c>
      <c r="E30" s="48"/>
    </row>
    <row r="31" spans="2:5" ht="15.75" customHeight="1" x14ac:dyDescent="0.2">
      <c r="B31" s="2"/>
      <c r="C31" s="41"/>
      <c r="D31" s="14">
        <f t="shared" si="0"/>
        <v>0</v>
      </c>
      <c r="E31" s="47"/>
    </row>
    <row r="32" spans="2:5" ht="15.75" customHeight="1" x14ac:dyDescent="0.2">
      <c r="B32" s="3"/>
      <c r="C32" s="42"/>
      <c r="D32" s="20">
        <f t="shared" si="0"/>
        <v>0</v>
      </c>
      <c r="E32" s="48"/>
    </row>
    <row r="33" spans="2:5" ht="18.75" customHeight="1" x14ac:dyDescent="0.2">
      <c r="B33" s="43" t="s">
        <v>45</v>
      </c>
      <c r="C33" s="44"/>
      <c r="D33" s="45">
        <f>SUM(D27:D32)</f>
        <v>0</v>
      </c>
      <c r="E33" s="44"/>
    </row>
    <row r="34" spans="2:5" ht="13.5" customHeight="1" x14ac:dyDescent="0.2">
      <c r="B34" s="46" t="s">
        <v>46</v>
      </c>
      <c r="C34" s="47"/>
      <c r="D34" s="14">
        <f>E2*(D27+D28+D29+D30)</f>
        <v>0</v>
      </c>
      <c r="E34" s="47"/>
    </row>
    <row r="35" spans="2:5" ht="13.5" customHeight="1" x14ac:dyDescent="0.2">
      <c r="B35" s="4" t="s">
        <v>47</v>
      </c>
      <c r="C35" s="48"/>
      <c r="D35" s="20">
        <f>E3*(D31+D32)</f>
        <v>0</v>
      </c>
      <c r="E35" s="48"/>
    </row>
    <row r="36" spans="2:5" ht="18.75" customHeight="1" x14ac:dyDescent="0.2">
      <c r="B36" s="43" t="s">
        <v>198</v>
      </c>
      <c r="C36" s="44"/>
      <c r="D36" s="45">
        <f>D33+D34+D35</f>
        <v>0</v>
      </c>
      <c r="E36" s="44"/>
    </row>
    <row r="38" spans="2:5" ht="19.5" customHeight="1" x14ac:dyDescent="0.2">
      <c r="B38" s="97" t="s">
        <v>49</v>
      </c>
      <c r="C38" s="97"/>
      <c r="D38" s="97"/>
      <c r="E38" s="97"/>
    </row>
    <row r="39" spans="2:5" ht="15.75" customHeight="1" x14ac:dyDescent="0.2">
      <c r="B39" s="2" t="s">
        <v>50</v>
      </c>
      <c r="C39" s="41"/>
      <c r="D39" s="14">
        <f t="shared" ref="D39:D44" si="1">C39*$C$12</f>
        <v>0</v>
      </c>
      <c r="E39" s="47"/>
    </row>
    <row r="40" spans="2:5" ht="15.75" customHeight="1" x14ac:dyDescent="0.2">
      <c r="B40" s="3" t="s">
        <v>51</v>
      </c>
      <c r="C40" s="42"/>
      <c r="D40" s="20">
        <f t="shared" si="1"/>
        <v>0</v>
      </c>
      <c r="E40" s="48"/>
    </row>
    <row r="41" spans="2:5" ht="15.75" customHeight="1" x14ac:dyDescent="0.2">
      <c r="B41" s="2" t="s">
        <v>52</v>
      </c>
      <c r="C41" s="41"/>
      <c r="D41" s="14">
        <f t="shared" si="1"/>
        <v>0</v>
      </c>
      <c r="E41" s="47"/>
    </row>
    <row r="42" spans="2:5" ht="15.75" customHeight="1" x14ac:dyDescent="0.2">
      <c r="B42" s="3" t="s">
        <v>53</v>
      </c>
      <c r="C42" s="42"/>
      <c r="D42" s="20">
        <f t="shared" si="1"/>
        <v>0</v>
      </c>
      <c r="E42" s="48"/>
    </row>
    <row r="43" spans="2:5" ht="15.75" customHeight="1" x14ac:dyDescent="0.2">
      <c r="B43" s="2" t="s">
        <v>199</v>
      </c>
      <c r="C43" s="41"/>
      <c r="D43" s="14">
        <f t="shared" si="1"/>
        <v>0</v>
      </c>
      <c r="E43" s="47"/>
    </row>
    <row r="44" spans="2:5" ht="15.75" customHeight="1" x14ac:dyDescent="0.2">
      <c r="B44" s="3" t="s">
        <v>55</v>
      </c>
      <c r="C44" s="42"/>
      <c r="D44" s="20">
        <f t="shared" si="1"/>
        <v>0</v>
      </c>
      <c r="E44" s="48"/>
    </row>
    <row r="45" spans="2:5" ht="18.75" customHeight="1" x14ac:dyDescent="0.2">
      <c r="B45" s="43" t="s">
        <v>45</v>
      </c>
      <c r="C45" s="44"/>
      <c r="D45" s="45">
        <f>SUM(D39:D44)</f>
        <v>0</v>
      </c>
      <c r="E45" s="44"/>
    </row>
    <row r="46" spans="2:5" ht="13.5" customHeight="1" x14ac:dyDescent="0.2">
      <c r="B46" s="46" t="s">
        <v>57</v>
      </c>
      <c r="C46" s="47"/>
      <c r="D46" s="14">
        <f>E2*D45</f>
        <v>0</v>
      </c>
      <c r="E46" s="47"/>
    </row>
    <row r="47" spans="2:5" ht="13.5" customHeight="1" x14ac:dyDescent="0.2">
      <c r="B47" s="4" t="s">
        <v>195</v>
      </c>
      <c r="C47" s="48"/>
      <c r="D47" s="20">
        <f>E3*D45</f>
        <v>0</v>
      </c>
      <c r="E47" s="48"/>
    </row>
    <row r="48" spans="2:5" ht="18.75" customHeight="1" x14ac:dyDescent="0.2">
      <c r="B48" s="43" t="s">
        <v>59</v>
      </c>
      <c r="C48" s="44"/>
      <c r="D48" s="45">
        <f>D45+D46+D47</f>
        <v>0</v>
      </c>
      <c r="E48" s="44"/>
    </row>
    <row r="50" spans="2:5" ht="19.5" customHeight="1" x14ac:dyDescent="0.2">
      <c r="B50" s="97" t="s">
        <v>200</v>
      </c>
      <c r="C50" s="97"/>
      <c r="D50" s="97"/>
      <c r="E50" s="97"/>
    </row>
    <row r="51" spans="2:5" ht="15.75" customHeight="1" x14ac:dyDescent="0.2">
      <c r="B51" s="2" t="s">
        <v>201</v>
      </c>
      <c r="C51" s="47"/>
      <c r="D51" s="41"/>
      <c r="E51" s="47"/>
    </row>
    <row r="52" spans="2:5" ht="15.75" customHeight="1" x14ac:dyDescent="0.2">
      <c r="B52" s="3" t="s">
        <v>202</v>
      </c>
      <c r="C52" s="48"/>
      <c r="D52" s="42"/>
      <c r="E52" s="48"/>
    </row>
    <row r="53" spans="2:5" ht="15.75" customHeight="1" x14ac:dyDescent="0.2">
      <c r="B53" s="2" t="s">
        <v>153</v>
      </c>
      <c r="C53" s="47"/>
      <c r="D53" s="41"/>
      <c r="E53" s="47"/>
    </row>
    <row r="54" spans="2:5" ht="15.75" customHeight="1" x14ac:dyDescent="0.2">
      <c r="B54" s="3" t="s">
        <v>203</v>
      </c>
      <c r="C54" s="48"/>
      <c r="D54" s="42"/>
      <c r="E54" s="48"/>
    </row>
    <row r="55" spans="2:5" ht="15.75" customHeight="1" x14ac:dyDescent="0.2">
      <c r="B55" s="2" t="s">
        <v>204</v>
      </c>
      <c r="C55" s="47"/>
      <c r="D55" s="41"/>
      <c r="E55" s="47"/>
    </row>
    <row r="56" spans="2:5" ht="15.75" customHeight="1" x14ac:dyDescent="0.2">
      <c r="B56" s="3" t="s">
        <v>69</v>
      </c>
      <c r="C56" s="48"/>
      <c r="D56" s="42"/>
      <c r="E56" s="48"/>
    </row>
    <row r="57" spans="2:5" ht="18.75" customHeight="1" x14ac:dyDescent="0.2">
      <c r="B57" s="43" t="s">
        <v>205</v>
      </c>
      <c r="C57" s="44"/>
      <c r="D57" s="45">
        <f>SUM(D51:D56)</f>
        <v>0</v>
      </c>
      <c r="E57" s="44"/>
    </row>
    <row r="59" spans="2:5" ht="19.5" customHeight="1" x14ac:dyDescent="0.2">
      <c r="B59" s="97" t="s">
        <v>71</v>
      </c>
      <c r="C59" s="97"/>
      <c r="D59" s="97"/>
      <c r="E59" s="97"/>
    </row>
    <row r="60" spans="2:5" ht="15.75" customHeight="1" x14ac:dyDescent="0.2">
      <c r="B60" s="2" t="s">
        <v>206</v>
      </c>
      <c r="C60" s="47"/>
      <c r="D60" s="41"/>
      <c r="E60" s="47"/>
    </row>
    <row r="61" spans="2:5" ht="15.75" customHeight="1" x14ac:dyDescent="0.2">
      <c r="B61" s="3" t="s">
        <v>207</v>
      </c>
      <c r="C61" s="48"/>
      <c r="D61" s="42"/>
      <c r="E61" s="48"/>
    </row>
    <row r="62" spans="2:5" ht="15.75" customHeight="1" x14ac:dyDescent="0.2">
      <c r="B62" s="2" t="s">
        <v>208</v>
      </c>
      <c r="C62" s="47"/>
      <c r="D62" s="41"/>
      <c r="E62" s="47"/>
    </row>
    <row r="63" spans="2:5" ht="15.75" customHeight="1" x14ac:dyDescent="0.2">
      <c r="B63" s="3" t="s">
        <v>209</v>
      </c>
      <c r="C63" s="48">
        <f>6*500</f>
        <v>3000</v>
      </c>
      <c r="D63" s="42"/>
      <c r="E63" s="48"/>
    </row>
    <row r="64" spans="2:5" ht="15.75" customHeight="1" x14ac:dyDescent="0.2">
      <c r="B64" s="2" t="s">
        <v>210</v>
      </c>
      <c r="C64" s="47"/>
      <c r="D64" s="41"/>
      <c r="E64" s="47"/>
    </row>
    <row r="65" spans="2:5" ht="15.75" customHeight="1" x14ac:dyDescent="0.2">
      <c r="B65" s="3" t="s">
        <v>211</v>
      </c>
      <c r="C65" s="48"/>
      <c r="D65" s="42"/>
      <c r="E65" s="48"/>
    </row>
    <row r="66" spans="2:5" ht="18.75" customHeight="1" x14ac:dyDescent="0.2">
      <c r="B66" s="43" t="s">
        <v>78</v>
      </c>
      <c r="C66" s="44"/>
      <c r="D66" s="45">
        <f>SUM(D60:D65)</f>
        <v>0</v>
      </c>
      <c r="E66" s="44"/>
    </row>
    <row r="68" spans="2:5" ht="19.5" customHeight="1" x14ac:dyDescent="0.2">
      <c r="B68" s="97" t="s">
        <v>79</v>
      </c>
      <c r="C68" s="97"/>
      <c r="D68" s="97"/>
      <c r="E68" s="97"/>
    </row>
    <row r="69" spans="2:5" ht="15.75" customHeight="1" x14ac:dyDescent="0.2">
      <c r="B69" s="2" t="s">
        <v>212</v>
      </c>
      <c r="C69" s="47">
        <v>0</v>
      </c>
      <c r="D69" s="41"/>
      <c r="E69" s="47"/>
    </row>
    <row r="70" spans="2:5" ht="15.75" customHeight="1" x14ac:dyDescent="0.2">
      <c r="B70" s="3" t="s">
        <v>213</v>
      </c>
      <c r="C70" s="48">
        <v>0</v>
      </c>
      <c r="D70" s="42"/>
      <c r="E70" s="48"/>
    </row>
    <row r="71" spans="2:5" ht="15.75" customHeight="1" x14ac:dyDescent="0.2">
      <c r="B71" s="2" t="s">
        <v>214</v>
      </c>
      <c r="C71" s="47"/>
      <c r="D71" s="41"/>
      <c r="E71" s="47"/>
    </row>
    <row r="72" spans="2:5" ht="15.75" customHeight="1" x14ac:dyDescent="0.2">
      <c r="B72" s="3" t="s">
        <v>84</v>
      </c>
      <c r="C72" s="48">
        <v>0</v>
      </c>
      <c r="D72" s="42"/>
      <c r="E72" s="48"/>
    </row>
    <row r="73" spans="2:5" ht="15.75" customHeight="1" x14ac:dyDescent="0.2">
      <c r="B73" s="2" t="s">
        <v>215</v>
      </c>
      <c r="C73" s="47"/>
      <c r="D73" s="41"/>
      <c r="E73" s="47"/>
    </row>
    <row r="74" spans="2:5" ht="15.75" customHeight="1" x14ac:dyDescent="0.2">
      <c r="B74" s="3" t="s">
        <v>69</v>
      </c>
      <c r="C74" s="48"/>
      <c r="D74" s="42"/>
      <c r="E74" s="48"/>
    </row>
    <row r="75" spans="2:5" ht="18.75" customHeight="1" x14ac:dyDescent="0.2">
      <c r="B75" s="43" t="s">
        <v>85</v>
      </c>
      <c r="C75" s="44"/>
      <c r="D75" s="45">
        <f>SUM(D69:D74)</f>
        <v>0</v>
      </c>
      <c r="E75" s="44"/>
    </row>
    <row r="77" spans="2:5" ht="19.5" customHeight="1" x14ac:dyDescent="0.2">
      <c r="B77" s="97" t="s">
        <v>216</v>
      </c>
      <c r="C77" s="97"/>
      <c r="D77" s="97"/>
      <c r="E77" s="97"/>
    </row>
    <row r="78" spans="2:5" ht="15.75" customHeight="1" x14ac:dyDescent="0.2">
      <c r="B78" s="2" t="s">
        <v>217</v>
      </c>
      <c r="C78" s="47"/>
      <c r="D78" s="14">
        <f>0.1*(D24+D36+D48)</f>
        <v>0</v>
      </c>
      <c r="E78" s="47"/>
    </row>
    <row r="79" spans="2:5" ht="13.5" customHeight="1" x14ac:dyDescent="0.2">
      <c r="B79" s="4" t="s">
        <v>159</v>
      </c>
      <c r="C79" s="48"/>
      <c r="D79" s="20">
        <f>E4*(D24+D36)</f>
        <v>0</v>
      </c>
      <c r="E79" s="48"/>
    </row>
    <row r="80" spans="2:5" ht="13.5" customHeight="1" x14ac:dyDescent="0.2">
      <c r="B80" s="46" t="s">
        <v>160</v>
      </c>
      <c r="C80" s="47"/>
      <c r="D80" s="14">
        <f>E5*D24</f>
        <v>0</v>
      </c>
      <c r="E80" s="47"/>
    </row>
    <row r="81" spans="2:5" ht="15.75" customHeight="1" x14ac:dyDescent="0.2">
      <c r="B81" s="3" t="s">
        <v>218</v>
      </c>
      <c r="C81" s="48"/>
      <c r="D81" s="42"/>
      <c r="E81" s="48"/>
    </row>
    <row r="83" spans="2:5" ht="6" customHeight="1" x14ac:dyDescent="0.2">
      <c r="B83" s="25"/>
      <c r="C83" s="25"/>
      <c r="D83" s="25"/>
      <c r="E83" s="25"/>
    </row>
    <row r="85" spans="2:5" ht="24" customHeight="1" x14ac:dyDescent="0.2">
      <c r="B85" s="98" t="s">
        <v>219</v>
      </c>
      <c r="C85" s="98"/>
      <c r="D85" s="49">
        <f>D24+D36+D48+D57+D66+D75+D78+D79+D80+D81</f>
        <v>0</v>
      </c>
      <c r="E85" s="23"/>
    </row>
    <row r="87" spans="2:5" ht="6" customHeight="1" x14ac:dyDescent="0.2">
      <c r="B87" s="25"/>
      <c r="C87" s="25"/>
      <c r="D87" s="25"/>
      <c r="E87" s="25"/>
    </row>
    <row r="89" spans="2:5" ht="19.5" customHeight="1" x14ac:dyDescent="0.2">
      <c r="B89" s="97" t="s">
        <v>220</v>
      </c>
      <c r="C89" s="97"/>
      <c r="D89" s="97"/>
      <c r="E89" s="97"/>
    </row>
    <row r="91" spans="2:5" ht="19.5" customHeight="1" x14ac:dyDescent="0.2">
      <c r="B91" s="66" t="s">
        <v>221</v>
      </c>
      <c r="C91" s="66" t="s">
        <v>17</v>
      </c>
      <c r="D91" s="66"/>
      <c r="E91" s="66"/>
    </row>
    <row r="92" spans="2:5" ht="15.75" customHeight="1" x14ac:dyDescent="0.2">
      <c r="B92" s="2" t="s">
        <v>222</v>
      </c>
      <c r="C92" s="67">
        <f>F138</f>
        <v>0</v>
      </c>
      <c r="D92" s="42"/>
      <c r="E92" s="20"/>
    </row>
    <row r="93" spans="2:5" ht="15.75" customHeight="1" x14ac:dyDescent="0.2">
      <c r="B93" s="3" t="s">
        <v>223</v>
      </c>
      <c r="C93" s="42"/>
      <c r="D93" s="42"/>
      <c r="E93" s="20"/>
    </row>
    <row r="94" spans="2:5" ht="18.75" customHeight="1" x14ac:dyDescent="0.2">
      <c r="B94" s="43" t="s">
        <v>224</v>
      </c>
      <c r="C94" s="68">
        <f>C92+C93</f>
        <v>0</v>
      </c>
      <c r="D94" s="44"/>
      <c r="E94" s="45"/>
    </row>
    <row r="96" spans="2:5" ht="19.5" customHeight="1" x14ac:dyDescent="0.2">
      <c r="B96" s="97" t="s">
        <v>225</v>
      </c>
      <c r="C96" s="97"/>
      <c r="D96" s="97"/>
      <c r="E96" s="97"/>
    </row>
    <row r="97" spans="2:6" ht="15.75" customHeight="1" x14ac:dyDescent="0.2">
      <c r="B97" s="2" t="s">
        <v>226</v>
      </c>
      <c r="C97" s="69"/>
      <c r="D97" s="48"/>
      <c r="E97" s="42"/>
    </row>
    <row r="98" spans="2:6" ht="15.75" customHeight="1" x14ac:dyDescent="0.2">
      <c r="B98" s="3" t="s">
        <v>227</v>
      </c>
      <c r="C98" s="70"/>
      <c r="D98" s="48"/>
      <c r="E98" s="42"/>
    </row>
    <row r="99" spans="2:6" ht="15.75" customHeight="1" x14ac:dyDescent="0.2">
      <c r="B99" s="2" t="s">
        <v>228</v>
      </c>
      <c r="C99" s="69"/>
      <c r="D99" s="48"/>
      <c r="E99" s="42"/>
    </row>
    <row r="100" spans="2:6" ht="18.75" customHeight="1" x14ac:dyDescent="0.2">
      <c r="B100" s="43" t="s">
        <v>229</v>
      </c>
      <c r="C100" s="68">
        <f>SUM(C97:C99)</f>
        <v>0</v>
      </c>
      <c r="D100" s="44"/>
      <c r="E100" s="45"/>
    </row>
    <row r="102" spans="2:6" ht="18.75" customHeight="1" x14ac:dyDescent="0.2">
      <c r="B102" s="43" t="s">
        <v>230</v>
      </c>
      <c r="C102" s="71">
        <f>C94+C100</f>
        <v>0</v>
      </c>
      <c r="D102" s="72"/>
      <c r="E102" s="73"/>
    </row>
    <row r="104" spans="2:6" ht="6" customHeight="1" x14ac:dyDescent="0.2">
      <c r="B104" s="25"/>
      <c r="C104" s="25"/>
      <c r="D104" s="25"/>
      <c r="E104" s="25"/>
    </row>
    <row r="105" spans="2:6" ht="19.5" customHeight="1" x14ac:dyDescent="0.2">
      <c r="B105" s="91" t="s">
        <v>170</v>
      </c>
      <c r="C105" s="91"/>
      <c r="D105" s="91"/>
      <c r="E105" s="91"/>
      <c r="F105" s="91"/>
    </row>
    <row r="106" spans="2:6" ht="18" customHeight="1" x14ac:dyDescent="0.2">
      <c r="B106" s="26" t="s">
        <v>172</v>
      </c>
      <c r="C106" s="26" t="s">
        <v>109</v>
      </c>
      <c r="D106" s="26" t="s">
        <v>173</v>
      </c>
      <c r="E106" s="26" t="s">
        <v>174</v>
      </c>
      <c r="F106" s="26" t="s">
        <v>175</v>
      </c>
    </row>
    <row r="107" spans="2:6" ht="15.75" customHeight="1" x14ac:dyDescent="0.2">
      <c r="B107" s="2" t="s">
        <v>231</v>
      </c>
      <c r="C107" s="74"/>
      <c r="D107" s="74"/>
      <c r="E107" s="74"/>
      <c r="F107" s="15">
        <f>(D107-C107)*E107</f>
        <v>0</v>
      </c>
    </row>
    <row r="108" spans="2:6" ht="15.75" customHeight="1" x14ac:dyDescent="0.2">
      <c r="B108" s="3" t="s">
        <v>232</v>
      </c>
      <c r="C108" s="75"/>
      <c r="D108" s="75"/>
      <c r="E108" s="75"/>
      <c r="F108" s="58">
        <f>(D108-C108)*E108</f>
        <v>0</v>
      </c>
    </row>
    <row r="109" spans="2:6" ht="15.75" customHeight="1" x14ac:dyDescent="0.2">
      <c r="B109" s="2" t="s">
        <v>233</v>
      </c>
      <c r="C109" s="74"/>
      <c r="D109" s="74"/>
      <c r="E109" s="74"/>
      <c r="F109" s="15">
        <f>(D109-C109)*E109</f>
        <v>0</v>
      </c>
    </row>
    <row r="110" spans="2:6" ht="15.75" customHeight="1" x14ac:dyDescent="0.2">
      <c r="B110" s="3" t="s">
        <v>234</v>
      </c>
      <c r="C110" s="75"/>
      <c r="D110" s="75"/>
      <c r="E110" s="75"/>
      <c r="F110" s="58">
        <f>(D110-C110)*E110</f>
        <v>0</v>
      </c>
    </row>
    <row r="111" spans="2:6" ht="18.75" customHeight="1" x14ac:dyDescent="0.2">
      <c r="B111" s="43" t="s">
        <v>183</v>
      </c>
      <c r="C111" s="61"/>
      <c r="D111" s="61"/>
      <c r="E111" s="61"/>
      <c r="F111" s="45">
        <f>SUM(F107:F110)</f>
        <v>0</v>
      </c>
    </row>
    <row r="112" spans="2:6" ht="18.75" customHeight="1" x14ac:dyDescent="0.2">
      <c r="B112" s="43"/>
      <c r="C112" s="44"/>
      <c r="D112" s="44"/>
      <c r="E112" s="45"/>
    </row>
    <row r="114" spans="2:7" ht="6" customHeight="1" x14ac:dyDescent="0.2">
      <c r="B114" s="25"/>
      <c r="C114" s="25"/>
      <c r="D114" s="25"/>
      <c r="E114" s="25"/>
    </row>
    <row r="116" spans="2:7" ht="25.5" customHeight="1" x14ac:dyDescent="0.2">
      <c r="B116" s="106" t="s">
        <v>235</v>
      </c>
      <c r="C116" s="106"/>
      <c r="D116" s="106"/>
      <c r="E116" s="76">
        <f>C102+F111-D85</f>
        <v>0</v>
      </c>
    </row>
    <row r="119" spans="2:7" ht="27.75" customHeight="1" x14ac:dyDescent="0.2">
      <c r="B119" s="107" t="s">
        <v>236</v>
      </c>
      <c r="C119" s="107"/>
      <c r="D119" s="107"/>
      <c r="E119" s="107"/>
      <c r="F119" s="107"/>
      <c r="G119" s="107"/>
    </row>
    <row r="120" spans="2:7" ht="13.5" customHeight="1" x14ac:dyDescent="0.2">
      <c r="B120" s="108" t="s">
        <v>237</v>
      </c>
      <c r="C120" s="108"/>
      <c r="D120" s="108"/>
      <c r="E120" s="108"/>
      <c r="F120" s="108"/>
      <c r="G120" s="108"/>
    </row>
    <row r="121" spans="2:7" ht="19.5" customHeight="1" x14ac:dyDescent="0.2">
      <c r="B121" s="77" t="s">
        <v>238</v>
      </c>
      <c r="C121" s="77" t="s">
        <v>239</v>
      </c>
      <c r="D121" s="77" t="s">
        <v>240</v>
      </c>
      <c r="E121" s="77" t="s">
        <v>241</v>
      </c>
      <c r="F121" s="77" t="s">
        <v>242</v>
      </c>
      <c r="G121" s="77" t="s">
        <v>243</v>
      </c>
    </row>
    <row r="122" spans="2:7" ht="15.75" customHeight="1" x14ac:dyDescent="0.2">
      <c r="B122" s="47"/>
      <c r="C122" s="78"/>
      <c r="D122" s="79"/>
      <c r="E122" s="79"/>
      <c r="F122" s="41"/>
      <c r="G122" s="57" t="s">
        <v>244</v>
      </c>
    </row>
    <row r="123" spans="2:7" ht="15.75" customHeight="1" x14ac:dyDescent="0.2">
      <c r="B123" s="48"/>
      <c r="C123" s="80"/>
      <c r="D123" s="81"/>
      <c r="E123" s="81"/>
      <c r="F123" s="42"/>
      <c r="G123" s="56"/>
    </row>
    <row r="124" spans="2:7" ht="15.75" customHeight="1" x14ac:dyDescent="0.2">
      <c r="B124" s="47"/>
      <c r="C124" s="78"/>
      <c r="D124" s="79"/>
      <c r="E124" s="79"/>
      <c r="F124" s="41"/>
      <c r="G124" s="57"/>
    </row>
    <row r="125" spans="2:7" ht="15.75" customHeight="1" x14ac:dyDescent="0.2">
      <c r="B125" s="48"/>
      <c r="C125" s="80"/>
      <c r="D125" s="81"/>
      <c r="E125" s="81"/>
      <c r="F125" s="42"/>
      <c r="G125" s="56"/>
    </row>
    <row r="126" spans="2:7" ht="15.75" customHeight="1" x14ac:dyDescent="0.2">
      <c r="B126" s="47"/>
      <c r="C126" s="82"/>
      <c r="D126" s="79"/>
      <c r="E126" s="79"/>
      <c r="F126" s="41"/>
      <c r="G126" s="57"/>
    </row>
    <row r="127" spans="2:7" ht="15.75" customHeight="1" x14ac:dyDescent="0.2">
      <c r="B127" s="48"/>
      <c r="C127" s="83"/>
      <c r="D127" s="81"/>
      <c r="E127" s="81"/>
      <c r="F127" s="42"/>
      <c r="G127" s="56"/>
    </row>
    <row r="128" spans="2:7" ht="15.75" customHeight="1" x14ac:dyDescent="0.2">
      <c r="B128" s="47"/>
      <c r="C128" s="82"/>
      <c r="D128" s="79"/>
      <c r="E128" s="79"/>
      <c r="F128" s="41"/>
      <c r="G128" s="57"/>
    </row>
    <row r="129" spans="2:7" ht="15.75" customHeight="1" x14ac:dyDescent="0.2">
      <c r="B129" s="48"/>
      <c r="C129" s="83"/>
      <c r="D129" s="81"/>
      <c r="E129" s="81"/>
      <c r="F129" s="42"/>
      <c r="G129" s="56"/>
    </row>
    <row r="130" spans="2:7" ht="15.75" customHeight="1" x14ac:dyDescent="0.2">
      <c r="B130" s="47"/>
      <c r="C130" s="82"/>
      <c r="D130" s="79"/>
      <c r="E130" s="79"/>
      <c r="F130" s="41"/>
      <c r="G130" s="57"/>
    </row>
    <row r="131" spans="2:7" ht="15.75" customHeight="1" x14ac:dyDescent="0.2">
      <c r="B131" s="48"/>
      <c r="C131" s="83"/>
      <c r="D131" s="81"/>
      <c r="E131" s="81"/>
      <c r="F131" s="42"/>
      <c r="G131" s="56"/>
    </row>
    <row r="132" spans="2:7" ht="15.75" customHeight="1" x14ac:dyDescent="0.2">
      <c r="B132" s="47"/>
      <c r="C132" s="82"/>
      <c r="D132" s="79"/>
      <c r="E132" s="79"/>
      <c r="F132" s="41"/>
      <c r="G132" s="57"/>
    </row>
    <row r="133" spans="2:7" ht="15.75" customHeight="1" x14ac:dyDescent="0.2">
      <c r="B133" s="48"/>
      <c r="C133" s="83"/>
      <c r="D133" s="81"/>
      <c r="E133" s="81"/>
      <c r="F133" s="42"/>
      <c r="G133" s="56"/>
    </row>
    <row r="134" spans="2:7" ht="15.75" customHeight="1" x14ac:dyDescent="0.2">
      <c r="B134" s="47"/>
      <c r="C134" s="82"/>
      <c r="D134" s="79"/>
      <c r="E134" s="79"/>
      <c r="F134" s="41"/>
      <c r="G134" s="57"/>
    </row>
    <row r="135" spans="2:7" ht="15.75" customHeight="1" x14ac:dyDescent="0.2">
      <c r="B135" s="48"/>
      <c r="C135" s="83"/>
      <c r="D135" s="81"/>
      <c r="E135" s="81"/>
      <c r="F135" s="42"/>
      <c r="G135" s="56"/>
    </row>
    <row r="136" spans="2:7" ht="15.75" customHeight="1" x14ac:dyDescent="0.2">
      <c r="B136" s="47"/>
      <c r="C136" s="82"/>
      <c r="D136" s="79"/>
      <c r="E136" s="79"/>
      <c r="F136" s="41"/>
      <c r="G136" s="57"/>
    </row>
    <row r="137" spans="2:7" ht="15.75" customHeight="1" x14ac:dyDescent="0.2">
      <c r="B137" s="48"/>
      <c r="C137" s="83"/>
      <c r="D137" s="81"/>
      <c r="E137" s="81"/>
      <c r="F137" s="42"/>
      <c r="G137" s="56"/>
    </row>
    <row r="138" spans="2:7" ht="18.75" customHeight="1" x14ac:dyDescent="0.2">
      <c r="B138" s="43" t="s">
        <v>17</v>
      </c>
      <c r="C138" s="36"/>
      <c r="D138" s="36"/>
      <c r="E138" s="36"/>
      <c r="F138" s="45">
        <f>SUM(F122:F137)</f>
        <v>0</v>
      </c>
      <c r="G138" s="36"/>
    </row>
    <row r="139" spans="2:7" ht="18.75" customHeight="1" x14ac:dyDescent="0.2">
      <c r="B139" s="43" t="s">
        <v>245</v>
      </c>
      <c r="C139" s="36"/>
      <c r="D139" s="36"/>
      <c r="E139" s="36"/>
      <c r="F139" s="45">
        <f>IFERROR(AVERAGEIF(F122:F137,"&lt;&gt;0"),0)</f>
        <v>0</v>
      </c>
      <c r="G139" s="36"/>
    </row>
  </sheetData>
  <mergeCells count="20">
    <mergeCell ref="B1:E1"/>
    <mergeCell ref="B2:D2"/>
    <mergeCell ref="B3:D3"/>
    <mergeCell ref="B4:D4"/>
    <mergeCell ref="B5:D5"/>
    <mergeCell ref="B17:E17"/>
    <mergeCell ref="B19:E19"/>
    <mergeCell ref="B26:E26"/>
    <mergeCell ref="B38:E38"/>
    <mergeCell ref="B50:E50"/>
    <mergeCell ref="B59:E59"/>
    <mergeCell ref="B68:E68"/>
    <mergeCell ref="B77:E77"/>
    <mergeCell ref="B85:C85"/>
    <mergeCell ref="B89:E89"/>
    <mergeCell ref="B96:E96"/>
    <mergeCell ref="B105:F105"/>
    <mergeCell ref="B116:D116"/>
    <mergeCell ref="B119:G119"/>
    <mergeCell ref="B120:G1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16"/>
  <sheetViews>
    <sheetView showGridLines="0" zoomScale="225" zoomScaleNormal="225" workbookViewId="0">
      <pane ySplit="1" topLeftCell="A8" activePane="bottomLeft" state="frozen"/>
      <selection pane="bottomLeft" activeCell="B3" sqref="B3:D3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16" customWidth="1"/>
    <col min="4" max="4" width="14" customWidth="1"/>
    <col min="5" max="5" width="16" customWidth="1"/>
    <col min="6" max="6" width="14" customWidth="1"/>
  </cols>
  <sheetData>
    <row r="1" spans="2:5" ht="27.75" customHeight="1" x14ac:dyDescent="0.2">
      <c r="B1" s="99" t="s">
        <v>246</v>
      </c>
      <c r="C1" s="99"/>
      <c r="D1" s="99"/>
      <c r="E1" s="99"/>
    </row>
    <row r="2" spans="2:5" ht="13.5" customHeight="1" x14ac:dyDescent="0.2">
      <c r="B2" s="100" t="s">
        <v>100</v>
      </c>
      <c r="C2" s="100"/>
      <c r="D2" s="100"/>
      <c r="E2" s="40"/>
    </row>
    <row r="3" spans="2:5" ht="13.5" customHeight="1" x14ac:dyDescent="0.2">
      <c r="B3" s="101" t="s">
        <v>101</v>
      </c>
      <c r="C3" s="101"/>
      <c r="D3" s="101"/>
      <c r="E3" s="40"/>
    </row>
    <row r="4" spans="2:5" ht="13.5" customHeight="1" x14ac:dyDescent="0.2">
      <c r="B4" s="100" t="s">
        <v>102</v>
      </c>
      <c r="C4" s="100"/>
      <c r="D4" s="100"/>
      <c r="E4" s="40"/>
    </row>
    <row r="5" spans="2:5" ht="13.5" customHeight="1" x14ac:dyDescent="0.2">
      <c r="B5" s="101" t="s">
        <v>103</v>
      </c>
      <c r="C5" s="101"/>
      <c r="D5" s="101"/>
      <c r="E5" s="40"/>
    </row>
    <row r="7" spans="2:5" ht="15" customHeight="1" x14ac:dyDescent="0.2">
      <c r="B7" s="9" t="s">
        <v>27</v>
      </c>
      <c r="C7" s="37">
        <f>Summary!C4</f>
        <v>0</v>
      </c>
    </row>
    <row r="8" spans="2:5" ht="15" customHeight="1" x14ac:dyDescent="0.2">
      <c r="B8" s="9" t="s">
        <v>3</v>
      </c>
      <c r="C8" s="10"/>
    </row>
    <row r="9" spans="2:5" ht="15" customHeight="1" x14ac:dyDescent="0.2">
      <c r="B9" s="9" t="s">
        <v>28</v>
      </c>
      <c r="C9" s="38"/>
    </row>
    <row r="10" spans="2:5" ht="15" customHeight="1" x14ac:dyDescent="0.2">
      <c r="B10" s="9" t="s">
        <v>29</v>
      </c>
      <c r="C10" s="38"/>
    </row>
    <row r="11" spans="2:5" ht="15" customHeight="1" x14ac:dyDescent="0.2">
      <c r="B11" s="9" t="s">
        <v>30</v>
      </c>
      <c r="C11" s="39" t="str">
        <f>IF(AND(C9&lt;&gt;"",C10&lt;&gt;""),C10-C9,"")</f>
        <v/>
      </c>
      <c r="D11" s="32" t="str">
        <f>IF(AND(C9&lt;&gt;"",C10&lt;&gt;""),ROUND((C10-C9)/30,1),"")</f>
        <v/>
      </c>
    </row>
    <row r="12" spans="2:5" ht="15" customHeight="1" x14ac:dyDescent="0.2">
      <c r="B12" s="9" t="s">
        <v>190</v>
      </c>
      <c r="C12" s="65"/>
    </row>
    <row r="14" spans="2:5" ht="19.5" customHeight="1" x14ac:dyDescent="0.2">
      <c r="B14" s="11" t="s">
        <v>36</v>
      </c>
      <c r="C14" s="11" t="s">
        <v>191</v>
      </c>
      <c r="D14" s="11" t="s">
        <v>247</v>
      </c>
      <c r="E14" s="11"/>
    </row>
    <row r="15" spans="2:5" ht="6" customHeight="1" x14ac:dyDescent="0.2">
      <c r="B15" s="25"/>
      <c r="C15" s="25"/>
      <c r="D15" s="25"/>
      <c r="E15" s="25"/>
    </row>
    <row r="17" spans="2:5" ht="19.5" customHeight="1" x14ac:dyDescent="0.2">
      <c r="B17" s="97" t="s">
        <v>193</v>
      </c>
      <c r="C17" s="97"/>
      <c r="D17" s="97"/>
      <c r="E17" s="97"/>
    </row>
    <row r="19" spans="2:5" ht="19.5" customHeight="1" x14ac:dyDescent="0.2">
      <c r="B19" s="97" t="s">
        <v>194</v>
      </c>
      <c r="C19" s="97"/>
      <c r="D19" s="97"/>
      <c r="E19" s="97"/>
    </row>
    <row r="20" spans="2:5" ht="15.75" customHeight="1" x14ac:dyDescent="0.2">
      <c r="B20" s="2" t="s">
        <v>194</v>
      </c>
      <c r="C20" s="41"/>
      <c r="D20" s="14">
        <f>C20*$C$12</f>
        <v>0</v>
      </c>
      <c r="E20" s="47"/>
    </row>
    <row r="21" spans="2:5" ht="18.75" customHeight="1" x14ac:dyDescent="0.2">
      <c r="B21" s="43" t="s">
        <v>45</v>
      </c>
      <c r="C21" s="44"/>
      <c r="D21" s="45">
        <f>SUM(D20:D20)</f>
        <v>0</v>
      </c>
      <c r="E21" s="44"/>
    </row>
    <row r="22" spans="2:5" ht="13.5" customHeight="1" x14ac:dyDescent="0.2">
      <c r="B22" s="46" t="s">
        <v>57</v>
      </c>
      <c r="C22" s="47"/>
      <c r="D22" s="14">
        <f>E2*D21</f>
        <v>0</v>
      </c>
      <c r="E22" s="47"/>
    </row>
    <row r="23" spans="2:5" ht="13.5" customHeight="1" x14ac:dyDescent="0.2">
      <c r="B23" s="4" t="s">
        <v>195</v>
      </c>
      <c r="C23" s="48"/>
      <c r="D23" s="20">
        <f>E3*D21</f>
        <v>0</v>
      </c>
      <c r="E23" s="48"/>
    </row>
    <row r="24" spans="2:5" ht="18.75" customHeight="1" x14ac:dyDescent="0.2">
      <c r="B24" s="43" t="s">
        <v>196</v>
      </c>
      <c r="C24" s="44"/>
      <c r="D24" s="45">
        <f>D21+D22+D23</f>
        <v>0</v>
      </c>
      <c r="E24" s="44"/>
    </row>
    <row r="26" spans="2:5" ht="19.5" customHeight="1" x14ac:dyDescent="0.2">
      <c r="B26" s="97" t="s">
        <v>197</v>
      </c>
      <c r="C26" s="97"/>
      <c r="D26" s="97"/>
      <c r="E26" s="97"/>
    </row>
    <row r="27" spans="2:5" ht="15.75" customHeight="1" x14ac:dyDescent="0.2">
      <c r="B27" s="2" t="s">
        <v>42</v>
      </c>
      <c r="C27" s="41"/>
      <c r="D27" s="14">
        <f t="shared" ref="D27:D32" si="0">C27*$C$12</f>
        <v>0</v>
      </c>
      <c r="E27" s="47"/>
    </row>
    <row r="28" spans="2:5" ht="15.75" customHeight="1" x14ac:dyDescent="0.2">
      <c r="B28" s="3" t="s">
        <v>135</v>
      </c>
      <c r="C28" s="42"/>
      <c r="D28" s="20">
        <f t="shared" si="0"/>
        <v>0</v>
      </c>
      <c r="E28" s="48"/>
    </row>
    <row r="29" spans="2:5" ht="15.75" customHeight="1" x14ac:dyDescent="0.2">
      <c r="B29" s="2" t="s">
        <v>41</v>
      </c>
      <c r="C29" s="41"/>
      <c r="D29" s="14">
        <f t="shared" si="0"/>
        <v>0</v>
      </c>
      <c r="E29" s="47"/>
    </row>
    <row r="30" spans="2:5" ht="15.75" customHeight="1" x14ac:dyDescent="0.2">
      <c r="B30" s="3" t="s">
        <v>248</v>
      </c>
      <c r="C30" s="42"/>
      <c r="D30" s="20">
        <f t="shared" si="0"/>
        <v>0</v>
      </c>
      <c r="E30" s="48"/>
    </row>
    <row r="31" spans="2:5" ht="15.75" customHeight="1" x14ac:dyDescent="0.2">
      <c r="B31" s="2" t="s">
        <v>44</v>
      </c>
      <c r="C31" s="41"/>
      <c r="D31" s="14">
        <f t="shared" si="0"/>
        <v>0</v>
      </c>
      <c r="E31" s="47"/>
    </row>
    <row r="32" spans="2:5" ht="15.75" customHeight="1" x14ac:dyDescent="0.2">
      <c r="B32" s="3" t="s">
        <v>44</v>
      </c>
      <c r="C32" s="42"/>
      <c r="D32" s="20">
        <f t="shared" si="0"/>
        <v>0</v>
      </c>
      <c r="E32" s="48"/>
    </row>
    <row r="33" spans="2:5" ht="18.75" customHeight="1" x14ac:dyDescent="0.2">
      <c r="B33" s="43" t="s">
        <v>45</v>
      </c>
      <c r="C33" s="44"/>
      <c r="D33" s="45">
        <f>SUM(D27:D32)</f>
        <v>0</v>
      </c>
      <c r="E33" s="44"/>
    </row>
    <row r="34" spans="2:5" ht="13.5" customHeight="1" x14ac:dyDescent="0.2">
      <c r="B34" s="46" t="s">
        <v>46</v>
      </c>
      <c r="C34" s="47"/>
      <c r="D34" s="14">
        <f>E2*(D27+D28+D29+D30)</f>
        <v>0</v>
      </c>
      <c r="E34" s="47"/>
    </row>
    <row r="35" spans="2:5" ht="13.5" customHeight="1" x14ac:dyDescent="0.2">
      <c r="B35" s="4" t="s">
        <v>47</v>
      </c>
      <c r="C35" s="48"/>
      <c r="D35" s="20">
        <f>E3*(D31+D32)</f>
        <v>0</v>
      </c>
      <c r="E35" s="48"/>
    </row>
    <row r="36" spans="2:5" ht="18.75" customHeight="1" x14ac:dyDescent="0.2">
      <c r="B36" s="43" t="s">
        <v>198</v>
      </c>
      <c r="C36" s="44"/>
      <c r="D36" s="45">
        <f>D33+D34+D35</f>
        <v>0</v>
      </c>
      <c r="E36" s="44"/>
    </row>
    <row r="38" spans="2:5" ht="19.5" customHeight="1" x14ac:dyDescent="0.2">
      <c r="B38" s="97" t="s">
        <v>49</v>
      </c>
      <c r="C38" s="97"/>
      <c r="D38" s="97"/>
      <c r="E38" s="97"/>
    </row>
    <row r="39" spans="2:5" ht="15.75" customHeight="1" x14ac:dyDescent="0.2">
      <c r="B39" s="2" t="s">
        <v>50</v>
      </c>
      <c r="C39" s="41"/>
      <c r="D39" s="14">
        <f t="shared" ref="D39:D44" si="1">C39*$C$12</f>
        <v>0</v>
      </c>
      <c r="E39" s="47"/>
    </row>
    <row r="40" spans="2:5" ht="15.75" customHeight="1" x14ac:dyDescent="0.2">
      <c r="B40" s="3" t="s">
        <v>51</v>
      </c>
      <c r="C40" s="42"/>
      <c r="D40" s="20">
        <f t="shared" si="1"/>
        <v>0</v>
      </c>
      <c r="E40" s="48"/>
    </row>
    <row r="41" spans="2:5" ht="15.75" customHeight="1" x14ac:dyDescent="0.2">
      <c r="B41" s="2" t="s">
        <v>52</v>
      </c>
      <c r="C41" s="41"/>
      <c r="D41" s="14">
        <f t="shared" si="1"/>
        <v>0</v>
      </c>
      <c r="E41" s="47"/>
    </row>
    <row r="42" spans="2:5" ht="15.75" customHeight="1" x14ac:dyDescent="0.2">
      <c r="B42" s="3" t="s">
        <v>53</v>
      </c>
      <c r="C42" s="42"/>
      <c r="D42" s="20">
        <f t="shared" si="1"/>
        <v>0</v>
      </c>
      <c r="E42" s="48"/>
    </row>
    <row r="43" spans="2:5" ht="15.75" customHeight="1" x14ac:dyDescent="0.2">
      <c r="B43" s="2" t="s">
        <v>199</v>
      </c>
      <c r="C43" s="41"/>
      <c r="D43" s="14">
        <f t="shared" si="1"/>
        <v>0</v>
      </c>
      <c r="E43" s="47"/>
    </row>
    <row r="44" spans="2:5" ht="15.75" customHeight="1" x14ac:dyDescent="0.2">
      <c r="B44" s="3" t="s">
        <v>55</v>
      </c>
      <c r="C44" s="42"/>
      <c r="D44" s="20">
        <f t="shared" si="1"/>
        <v>0</v>
      </c>
      <c r="E44" s="48"/>
    </row>
    <row r="45" spans="2:5" ht="18.75" customHeight="1" x14ac:dyDescent="0.2">
      <c r="B45" s="43" t="s">
        <v>45</v>
      </c>
      <c r="C45" s="44"/>
      <c r="D45" s="45">
        <f>SUM(D39:D44)</f>
        <v>0</v>
      </c>
      <c r="E45" s="44"/>
    </row>
    <row r="46" spans="2:5" ht="13.5" customHeight="1" x14ac:dyDescent="0.2">
      <c r="B46" s="46" t="s">
        <v>57</v>
      </c>
      <c r="C46" s="47"/>
      <c r="D46" s="14">
        <f>E2*D45</f>
        <v>0</v>
      </c>
      <c r="E46" s="47"/>
    </row>
    <row r="47" spans="2:5" ht="13.5" customHeight="1" x14ac:dyDescent="0.2">
      <c r="B47" s="4" t="s">
        <v>195</v>
      </c>
      <c r="C47" s="48"/>
      <c r="D47" s="20">
        <f>E3*D45</f>
        <v>0</v>
      </c>
      <c r="E47" s="48"/>
    </row>
    <row r="48" spans="2:5" ht="18.75" customHeight="1" x14ac:dyDescent="0.2">
      <c r="B48" s="43" t="s">
        <v>59</v>
      </c>
      <c r="C48" s="44"/>
      <c r="D48" s="45">
        <f>D45+D46+D47</f>
        <v>0</v>
      </c>
      <c r="E48" s="44"/>
    </row>
    <row r="50" spans="2:5" ht="19.5" customHeight="1" x14ac:dyDescent="0.2">
      <c r="B50" s="97" t="s">
        <v>200</v>
      </c>
      <c r="C50" s="97"/>
      <c r="D50" s="97"/>
      <c r="E50" s="97"/>
    </row>
    <row r="51" spans="2:5" ht="15.75" customHeight="1" x14ac:dyDescent="0.2">
      <c r="B51" s="2" t="s">
        <v>201</v>
      </c>
      <c r="C51" s="47"/>
      <c r="D51" s="41"/>
      <c r="E51" s="47"/>
    </row>
    <row r="52" spans="2:5" ht="15.75" customHeight="1" x14ac:dyDescent="0.2">
      <c r="B52" s="3" t="s">
        <v>202</v>
      </c>
      <c r="C52" s="48"/>
      <c r="D52" s="42"/>
      <c r="E52" s="48"/>
    </row>
    <row r="53" spans="2:5" ht="15.75" customHeight="1" x14ac:dyDescent="0.2">
      <c r="B53" s="2" t="s">
        <v>153</v>
      </c>
      <c r="C53" s="47"/>
      <c r="D53" s="41"/>
      <c r="E53" s="47"/>
    </row>
    <row r="54" spans="2:5" ht="15.75" customHeight="1" x14ac:dyDescent="0.2">
      <c r="B54" s="3" t="s">
        <v>203</v>
      </c>
      <c r="C54" s="48"/>
      <c r="D54" s="42"/>
      <c r="E54" s="48"/>
    </row>
    <row r="55" spans="2:5" ht="15.75" customHeight="1" x14ac:dyDescent="0.2">
      <c r="B55" s="2" t="s">
        <v>204</v>
      </c>
      <c r="C55" s="47"/>
      <c r="D55" s="41"/>
      <c r="E55" s="47"/>
    </row>
    <row r="56" spans="2:5" ht="15.75" customHeight="1" x14ac:dyDescent="0.2">
      <c r="B56" s="3" t="s">
        <v>69</v>
      </c>
      <c r="C56" s="48"/>
      <c r="D56" s="42"/>
      <c r="E56" s="48"/>
    </row>
    <row r="57" spans="2:5" ht="18.75" customHeight="1" x14ac:dyDescent="0.2">
      <c r="B57" s="43" t="s">
        <v>205</v>
      </c>
      <c r="C57" s="44"/>
      <c r="D57" s="45">
        <f>SUM(D51:D56)</f>
        <v>0</v>
      </c>
      <c r="E57" s="44"/>
    </row>
    <row r="59" spans="2:5" ht="19.5" customHeight="1" x14ac:dyDescent="0.2">
      <c r="B59" s="97" t="s">
        <v>71</v>
      </c>
      <c r="C59" s="97"/>
      <c r="D59" s="97"/>
      <c r="E59" s="97"/>
    </row>
    <row r="60" spans="2:5" ht="15.75" customHeight="1" x14ac:dyDescent="0.2">
      <c r="B60" s="2" t="s">
        <v>206</v>
      </c>
      <c r="C60" s="47"/>
      <c r="D60" s="41"/>
      <c r="E60" s="47"/>
    </row>
    <row r="61" spans="2:5" ht="15.75" customHeight="1" x14ac:dyDescent="0.2">
      <c r="B61" s="3" t="s">
        <v>207</v>
      </c>
      <c r="C61" s="48"/>
      <c r="D61" s="42"/>
      <c r="E61" s="48"/>
    </row>
    <row r="62" spans="2:5" ht="15.75" customHeight="1" x14ac:dyDescent="0.2">
      <c r="B62" s="2" t="s">
        <v>208</v>
      </c>
      <c r="C62" s="47"/>
      <c r="D62" s="41"/>
      <c r="E62" s="47"/>
    </row>
    <row r="63" spans="2:5" ht="15.75" customHeight="1" x14ac:dyDescent="0.2">
      <c r="B63" s="3" t="s">
        <v>209</v>
      </c>
      <c r="C63" s="48"/>
      <c r="D63" s="42"/>
      <c r="E63" s="48"/>
    </row>
    <row r="64" spans="2:5" ht="15.75" customHeight="1" x14ac:dyDescent="0.2">
      <c r="B64" s="2" t="s">
        <v>210</v>
      </c>
      <c r="C64" s="47"/>
      <c r="D64" s="41"/>
      <c r="E64" s="47"/>
    </row>
    <row r="65" spans="2:5" ht="15.75" customHeight="1" x14ac:dyDescent="0.2">
      <c r="B65" s="3" t="s">
        <v>211</v>
      </c>
      <c r="C65" s="48"/>
      <c r="D65" s="42"/>
      <c r="E65" s="48"/>
    </row>
    <row r="66" spans="2:5" ht="18.75" customHeight="1" x14ac:dyDescent="0.2">
      <c r="B66" s="43" t="s">
        <v>78</v>
      </c>
      <c r="C66" s="44"/>
      <c r="D66" s="45">
        <f>SUM(D60:D65)</f>
        <v>0</v>
      </c>
      <c r="E66" s="44"/>
    </row>
    <row r="68" spans="2:5" ht="19.5" customHeight="1" x14ac:dyDescent="0.2">
      <c r="B68" s="97" t="s">
        <v>79</v>
      </c>
      <c r="C68" s="97"/>
      <c r="D68" s="97"/>
      <c r="E68" s="97"/>
    </row>
    <row r="69" spans="2:5" ht="15.75" customHeight="1" x14ac:dyDescent="0.2">
      <c r="B69" s="2" t="s">
        <v>212</v>
      </c>
      <c r="C69" s="47"/>
      <c r="D69" s="41"/>
      <c r="E69" s="47"/>
    </row>
    <row r="70" spans="2:5" ht="15.75" customHeight="1" x14ac:dyDescent="0.2">
      <c r="B70" s="3" t="s">
        <v>213</v>
      </c>
      <c r="C70" s="48"/>
      <c r="D70" s="42"/>
      <c r="E70" s="48"/>
    </row>
    <row r="71" spans="2:5" ht="15.75" customHeight="1" x14ac:dyDescent="0.2">
      <c r="B71" s="2" t="s">
        <v>214</v>
      </c>
      <c r="C71" s="47"/>
      <c r="D71" s="41"/>
      <c r="E71" s="47"/>
    </row>
    <row r="72" spans="2:5" ht="15.75" customHeight="1" x14ac:dyDescent="0.2">
      <c r="B72" s="3" t="s">
        <v>84</v>
      </c>
      <c r="C72" s="48"/>
      <c r="D72" s="42"/>
      <c r="E72" s="48"/>
    </row>
    <row r="73" spans="2:5" ht="15.75" customHeight="1" x14ac:dyDescent="0.2">
      <c r="B73" s="2" t="s">
        <v>215</v>
      </c>
      <c r="C73" s="47"/>
      <c r="D73" s="41"/>
      <c r="E73" s="47"/>
    </row>
    <row r="74" spans="2:5" ht="15.75" customHeight="1" x14ac:dyDescent="0.2">
      <c r="B74" s="3" t="s">
        <v>69</v>
      </c>
      <c r="C74" s="48"/>
      <c r="D74" s="42"/>
      <c r="E74" s="48"/>
    </row>
    <row r="75" spans="2:5" ht="18.75" customHeight="1" x14ac:dyDescent="0.2">
      <c r="B75" s="43" t="s">
        <v>85</v>
      </c>
      <c r="C75" s="44"/>
      <c r="D75" s="45">
        <f>SUM(D69:D74)</f>
        <v>0</v>
      </c>
      <c r="E75" s="44"/>
    </row>
    <row r="77" spans="2:5" ht="19.5" customHeight="1" x14ac:dyDescent="0.2">
      <c r="B77" s="97" t="s">
        <v>216</v>
      </c>
      <c r="C77" s="97"/>
      <c r="D77" s="97"/>
      <c r="E77" s="97"/>
    </row>
    <row r="78" spans="2:5" ht="15.75" customHeight="1" x14ac:dyDescent="0.2">
      <c r="B78" s="2" t="s">
        <v>217</v>
      </c>
      <c r="C78" s="47"/>
      <c r="D78" s="14">
        <f>0.1*(D24+D36+D48)</f>
        <v>0</v>
      </c>
      <c r="E78" s="47"/>
    </row>
    <row r="79" spans="2:5" ht="13.5" customHeight="1" x14ac:dyDescent="0.2">
      <c r="B79" s="4" t="s">
        <v>159</v>
      </c>
      <c r="C79" s="48"/>
      <c r="D79" s="20">
        <f>E4*(D24+D36)</f>
        <v>0</v>
      </c>
      <c r="E79" s="48"/>
    </row>
    <row r="80" spans="2:5" ht="13.5" customHeight="1" x14ac:dyDescent="0.2">
      <c r="B80" s="46" t="s">
        <v>160</v>
      </c>
      <c r="C80" s="47"/>
      <c r="D80" s="14">
        <f>E5*D24</f>
        <v>0</v>
      </c>
      <c r="E80" s="47"/>
    </row>
    <row r="81" spans="2:5" ht="15.75" customHeight="1" x14ac:dyDescent="0.2">
      <c r="B81" s="3" t="s">
        <v>218</v>
      </c>
      <c r="C81" s="48"/>
      <c r="D81" s="42"/>
      <c r="E81" s="48"/>
    </row>
    <row r="83" spans="2:5" ht="6" customHeight="1" x14ac:dyDescent="0.2">
      <c r="B83" s="25"/>
      <c r="C83" s="25"/>
      <c r="D83" s="25"/>
      <c r="E83" s="25"/>
    </row>
    <row r="85" spans="2:5" ht="24" customHeight="1" x14ac:dyDescent="0.2">
      <c r="B85" s="98" t="s">
        <v>219</v>
      </c>
      <c r="C85" s="98"/>
      <c r="D85" s="49">
        <f>D24+D36+D48+D57+D66+D75+D78+D79+D80+D81</f>
        <v>0</v>
      </c>
      <c r="E85" s="23"/>
    </row>
    <row r="87" spans="2:5" ht="6" customHeight="1" x14ac:dyDescent="0.2">
      <c r="B87" s="25"/>
      <c r="C87" s="25"/>
      <c r="D87" s="25"/>
      <c r="E87" s="25"/>
    </row>
    <row r="89" spans="2:5" ht="19.5" customHeight="1" x14ac:dyDescent="0.2">
      <c r="B89" s="97" t="s">
        <v>220</v>
      </c>
      <c r="C89" s="97"/>
      <c r="D89" s="97"/>
      <c r="E89" s="97"/>
    </row>
    <row r="91" spans="2:5" ht="19.5" customHeight="1" x14ac:dyDescent="0.2">
      <c r="B91" s="77" t="s">
        <v>221</v>
      </c>
      <c r="C91" s="77" t="s">
        <v>249</v>
      </c>
      <c r="D91" s="77" t="s">
        <v>250</v>
      </c>
      <c r="E91" s="77" t="s">
        <v>17</v>
      </c>
    </row>
    <row r="92" spans="2:5" ht="15.75" customHeight="1" x14ac:dyDescent="0.2">
      <c r="B92" s="2" t="s">
        <v>251</v>
      </c>
      <c r="C92" s="41"/>
      <c r="D92" s="41"/>
      <c r="E92" s="14">
        <f>C92*D92</f>
        <v>0</v>
      </c>
    </row>
    <row r="93" spans="2:5" ht="15.75" customHeight="1" x14ac:dyDescent="0.2">
      <c r="B93" s="3" t="s">
        <v>223</v>
      </c>
      <c r="C93" s="42"/>
      <c r="D93" s="42"/>
      <c r="E93" s="20">
        <f>C93*D93</f>
        <v>0</v>
      </c>
    </row>
    <row r="94" spans="2:5" ht="18.75" customHeight="1" x14ac:dyDescent="0.2">
      <c r="B94" s="43" t="s">
        <v>224</v>
      </c>
      <c r="C94" s="44"/>
      <c r="D94" s="44"/>
      <c r="E94" s="45">
        <f>SUM(E92:E93)</f>
        <v>0</v>
      </c>
    </row>
    <row r="96" spans="2:5" ht="19.5" customHeight="1" x14ac:dyDescent="0.2">
      <c r="B96" s="97" t="s">
        <v>225</v>
      </c>
      <c r="C96" s="97"/>
      <c r="D96" s="97"/>
      <c r="E96" s="97"/>
    </row>
    <row r="97" spans="2:6" ht="15.75" customHeight="1" x14ac:dyDescent="0.2">
      <c r="B97" s="2" t="s">
        <v>252</v>
      </c>
      <c r="C97" s="47"/>
      <c r="D97" s="47"/>
      <c r="E97" s="41"/>
    </row>
    <row r="98" spans="2:6" ht="15.75" customHeight="1" x14ac:dyDescent="0.2">
      <c r="B98" s="3" t="s">
        <v>227</v>
      </c>
      <c r="C98" s="48"/>
      <c r="D98" s="48"/>
      <c r="E98" s="42"/>
    </row>
    <row r="99" spans="2:6" ht="15.75" customHeight="1" x14ac:dyDescent="0.2">
      <c r="B99" s="2" t="s">
        <v>228</v>
      </c>
      <c r="C99" s="47"/>
      <c r="D99" s="47"/>
      <c r="E99" s="41"/>
    </row>
    <row r="100" spans="2:6" ht="18.75" customHeight="1" x14ac:dyDescent="0.2">
      <c r="B100" s="43" t="s">
        <v>229</v>
      </c>
      <c r="C100" s="44"/>
      <c r="D100" s="44"/>
      <c r="E100" s="45">
        <f>SUM(E97:E99)</f>
        <v>0</v>
      </c>
    </row>
    <row r="102" spans="2:6" ht="18.75" customHeight="1" x14ac:dyDescent="0.2">
      <c r="B102" s="43" t="s">
        <v>253</v>
      </c>
      <c r="C102" s="44"/>
      <c r="D102" s="44"/>
      <c r="E102" s="45">
        <f>E94+E100</f>
        <v>0</v>
      </c>
    </row>
    <row r="104" spans="2:6" ht="6" customHeight="1" x14ac:dyDescent="0.2">
      <c r="B104" s="25"/>
      <c r="C104" s="25"/>
      <c r="D104" s="25"/>
      <c r="E104" s="25"/>
    </row>
    <row r="105" spans="2:6" ht="19.5" customHeight="1" x14ac:dyDescent="0.2">
      <c r="B105" s="91" t="s">
        <v>170</v>
      </c>
      <c r="C105" s="91"/>
      <c r="D105" s="91"/>
      <c r="E105" s="91"/>
      <c r="F105" s="91"/>
    </row>
    <row r="106" spans="2:6" ht="18" customHeight="1" x14ac:dyDescent="0.2">
      <c r="B106" s="26" t="s">
        <v>172</v>
      </c>
      <c r="C106" s="26" t="s">
        <v>109</v>
      </c>
      <c r="D106" s="26" t="s">
        <v>173</v>
      </c>
      <c r="E106" s="26" t="s">
        <v>174</v>
      </c>
      <c r="F106" s="26" t="s">
        <v>175</v>
      </c>
    </row>
    <row r="107" spans="2:6" ht="15.75" customHeight="1" x14ac:dyDescent="0.2">
      <c r="B107" s="2" t="s">
        <v>231</v>
      </c>
      <c r="C107" s="74"/>
      <c r="D107" s="74"/>
      <c r="E107" s="74"/>
      <c r="F107" s="15">
        <f>(D107-C107)*E107</f>
        <v>0</v>
      </c>
    </row>
    <row r="108" spans="2:6" ht="15.75" customHeight="1" x14ac:dyDescent="0.2">
      <c r="B108" s="3" t="s">
        <v>232</v>
      </c>
      <c r="C108" s="75"/>
      <c r="D108" s="75"/>
      <c r="E108" s="75"/>
      <c r="F108" s="58">
        <f>(D108-C108)*E108</f>
        <v>0</v>
      </c>
    </row>
    <row r="109" spans="2:6" ht="15.75" customHeight="1" x14ac:dyDescent="0.2">
      <c r="B109" s="2" t="s">
        <v>233</v>
      </c>
      <c r="C109" s="74"/>
      <c r="D109" s="74"/>
      <c r="E109" s="74"/>
      <c r="F109" s="15">
        <f>(D109-C109)*E109</f>
        <v>0</v>
      </c>
    </row>
    <row r="110" spans="2:6" ht="15.75" customHeight="1" x14ac:dyDescent="0.2">
      <c r="B110" s="3" t="s">
        <v>234</v>
      </c>
      <c r="C110" s="75"/>
      <c r="D110" s="75"/>
      <c r="E110" s="75"/>
      <c r="F110" s="58">
        <f>(D110-C110)*E110</f>
        <v>0</v>
      </c>
    </row>
    <row r="111" spans="2:6" ht="18.75" customHeight="1" x14ac:dyDescent="0.2">
      <c r="B111" s="43" t="s">
        <v>183</v>
      </c>
      <c r="C111" s="61"/>
      <c r="D111" s="61"/>
      <c r="E111" s="61"/>
      <c r="F111" s="45">
        <f>SUM(F107:F110)</f>
        <v>0</v>
      </c>
    </row>
    <row r="112" spans="2:6" ht="18.75" customHeight="1" x14ac:dyDescent="0.2">
      <c r="B112" s="43"/>
      <c r="C112" s="44"/>
      <c r="D112" s="44"/>
      <c r="E112" s="45"/>
    </row>
    <row r="114" spans="2:5" ht="6" customHeight="1" x14ac:dyDescent="0.2">
      <c r="B114" s="25"/>
      <c r="C114" s="25"/>
      <c r="D114" s="25"/>
      <c r="E114" s="25"/>
    </row>
    <row r="116" spans="2:5" ht="25.5" customHeight="1" x14ac:dyDescent="0.2">
      <c r="B116" s="106" t="s">
        <v>254</v>
      </c>
      <c r="C116" s="106"/>
      <c r="D116" s="106"/>
      <c r="E116" s="84">
        <f>(E102+E112)-D85</f>
        <v>0</v>
      </c>
    </row>
  </sheetData>
  <mergeCells count="18">
    <mergeCell ref="B1:E1"/>
    <mergeCell ref="B2:D2"/>
    <mergeCell ref="B3:D3"/>
    <mergeCell ref="B4:D4"/>
    <mergeCell ref="B5:D5"/>
    <mergeCell ref="B17:E17"/>
    <mergeCell ref="B19:E19"/>
    <mergeCell ref="B26:E26"/>
    <mergeCell ref="B38:E38"/>
    <mergeCell ref="B50:E50"/>
    <mergeCell ref="B96:E96"/>
    <mergeCell ref="B105:F105"/>
    <mergeCell ref="B116:D116"/>
    <mergeCell ref="B59:E59"/>
    <mergeCell ref="B68:E68"/>
    <mergeCell ref="B77:E77"/>
    <mergeCell ref="B85:C85"/>
    <mergeCell ref="B89:E8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9"/>
  <sheetViews>
    <sheetView showGridLines="0" zoomScale="249" zoomScaleNormal="249" workbookViewId="0">
      <pane ySplit="1" topLeftCell="A2" activePane="bottomLeft" state="frozen"/>
      <selection pane="bottomLeft" activeCell="B23" sqref="B23:E23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3" width="13" customWidth="1"/>
    <col min="4" max="4" width="10" customWidth="1"/>
    <col min="5" max="5" width="15" customWidth="1"/>
    <col min="6" max="6" width="2" customWidth="1"/>
    <col min="7" max="7" width="32" customWidth="1"/>
    <col min="8" max="8" width="15" customWidth="1"/>
    <col min="9" max="9" width="2" customWidth="1"/>
  </cols>
  <sheetData>
    <row r="1" spans="2:8" ht="27.75" customHeight="1" x14ac:dyDescent="0.2">
      <c r="B1" s="99" t="s">
        <v>255</v>
      </c>
      <c r="C1" s="99"/>
      <c r="D1" s="99"/>
      <c r="E1" s="99"/>
      <c r="F1" s="99"/>
      <c r="G1" s="99"/>
      <c r="H1" s="99"/>
    </row>
    <row r="2" spans="2:8" ht="13.5" customHeight="1" x14ac:dyDescent="0.2">
      <c r="B2" s="100" t="s">
        <v>100</v>
      </c>
      <c r="C2" s="100"/>
      <c r="D2" s="100"/>
      <c r="E2" s="40"/>
    </row>
    <row r="3" spans="2:8" ht="13.5" customHeight="1" x14ac:dyDescent="0.2">
      <c r="B3" s="101" t="s">
        <v>101</v>
      </c>
      <c r="C3" s="101"/>
      <c r="D3" s="101"/>
      <c r="E3" s="40"/>
    </row>
    <row r="4" spans="2:8" ht="13.5" customHeight="1" x14ac:dyDescent="0.2">
      <c r="B4" s="100" t="s">
        <v>102</v>
      </c>
      <c r="C4" s="100"/>
      <c r="D4" s="100"/>
      <c r="E4" s="40"/>
    </row>
    <row r="5" spans="2:8" ht="13.5" customHeight="1" x14ac:dyDescent="0.2">
      <c r="B5" s="101" t="s">
        <v>103</v>
      </c>
      <c r="C5" s="101"/>
      <c r="D5" s="101"/>
      <c r="E5" s="40"/>
    </row>
    <row r="7" spans="2:8" ht="15" customHeight="1" x14ac:dyDescent="0.2">
      <c r="B7" s="9" t="s">
        <v>27</v>
      </c>
      <c r="C7" s="37">
        <f>Summary!C4</f>
        <v>0</v>
      </c>
    </row>
    <row r="8" spans="2:8" ht="15" customHeight="1" x14ac:dyDescent="0.2">
      <c r="B8" s="9" t="s">
        <v>104</v>
      </c>
      <c r="C8" s="38"/>
    </row>
    <row r="9" spans="2:8" ht="15" customHeight="1" x14ac:dyDescent="0.2">
      <c r="B9" s="9" t="s">
        <v>105</v>
      </c>
      <c r="C9" s="10"/>
    </row>
    <row r="10" spans="2:8" ht="15" customHeight="1" x14ac:dyDescent="0.2">
      <c r="B10" s="9" t="s">
        <v>106</v>
      </c>
      <c r="C10" s="10"/>
    </row>
    <row r="11" spans="2:8" ht="15" customHeight="1" x14ac:dyDescent="0.2">
      <c r="B11" s="9" t="s">
        <v>107</v>
      </c>
      <c r="C11" s="10"/>
    </row>
    <row r="13" spans="2:8" ht="19.5" customHeight="1" x14ac:dyDescent="0.2">
      <c r="B13" s="11" t="s">
        <v>108</v>
      </c>
      <c r="C13" s="11" t="s">
        <v>109</v>
      </c>
      <c r="D13" s="11" t="s">
        <v>110</v>
      </c>
      <c r="E13" s="11" t="s">
        <v>111</v>
      </c>
      <c r="G13" s="91" t="s">
        <v>112</v>
      </c>
      <c r="H13" s="91"/>
    </row>
    <row r="14" spans="2:8" ht="15.75" customHeight="1" x14ac:dyDescent="0.2">
      <c r="B14" s="97" t="s">
        <v>113</v>
      </c>
      <c r="C14" s="97"/>
      <c r="D14" s="97"/>
      <c r="E14" s="97"/>
      <c r="G14" s="2" t="s">
        <v>114</v>
      </c>
      <c r="H14" s="41"/>
    </row>
    <row r="15" spans="2:8" ht="15.75" customHeight="1" x14ac:dyDescent="0.2">
      <c r="B15" s="2" t="s">
        <v>115</v>
      </c>
      <c r="C15" s="41"/>
      <c r="D15" s="41"/>
      <c r="E15" s="14">
        <f t="shared" ref="E15:E20" si="0">C15*D15</f>
        <v>0</v>
      </c>
      <c r="G15" s="3" t="s">
        <v>116</v>
      </c>
      <c r="H15" s="42"/>
    </row>
    <row r="16" spans="2:8" ht="15.75" customHeight="1" x14ac:dyDescent="0.2">
      <c r="B16" s="3" t="s">
        <v>117</v>
      </c>
      <c r="C16" s="42"/>
      <c r="D16" s="42"/>
      <c r="E16" s="20">
        <f t="shared" si="0"/>
        <v>0</v>
      </c>
      <c r="G16" s="2" t="s">
        <v>118</v>
      </c>
      <c r="H16" s="41"/>
    </row>
    <row r="17" spans="2:8" ht="15.75" customHeight="1" x14ac:dyDescent="0.2">
      <c r="B17" s="2" t="s">
        <v>119</v>
      </c>
      <c r="C17" s="41"/>
      <c r="D17" s="41"/>
      <c r="E17" s="14">
        <f t="shared" si="0"/>
        <v>0</v>
      </c>
      <c r="G17" s="52" t="s">
        <v>120</v>
      </c>
      <c r="H17" s="53">
        <f>H14-H15-H16</f>
        <v>0</v>
      </c>
    </row>
    <row r="18" spans="2:8" ht="15.75" customHeight="1" x14ac:dyDescent="0.2">
      <c r="B18" s="3" t="s">
        <v>121</v>
      </c>
      <c r="C18" s="42"/>
      <c r="D18" s="42"/>
      <c r="E18" s="20">
        <f t="shared" si="0"/>
        <v>0</v>
      </c>
    </row>
    <row r="19" spans="2:8" ht="19.5" customHeight="1" x14ac:dyDescent="0.2">
      <c r="B19" s="2" t="s">
        <v>122</v>
      </c>
      <c r="C19" s="41"/>
      <c r="D19" s="41"/>
      <c r="E19" s="14">
        <f t="shared" si="0"/>
        <v>0</v>
      </c>
      <c r="G19" s="91" t="s">
        <v>123</v>
      </c>
      <c r="H19" s="91"/>
    </row>
    <row r="20" spans="2:8" ht="15.75" customHeight="1" x14ac:dyDescent="0.2">
      <c r="B20" s="3" t="s">
        <v>125</v>
      </c>
      <c r="C20" s="42"/>
      <c r="D20" s="42"/>
      <c r="E20" s="20">
        <f t="shared" si="0"/>
        <v>0</v>
      </c>
      <c r="G20" s="2" t="s">
        <v>126</v>
      </c>
      <c r="H20" s="41"/>
    </row>
    <row r="21" spans="2:8" ht="15.75" customHeight="1" x14ac:dyDescent="0.2">
      <c r="B21" s="43" t="s">
        <v>127</v>
      </c>
      <c r="C21" s="44"/>
      <c r="D21" s="44"/>
      <c r="E21" s="45">
        <f>SUM(E15:E20)</f>
        <v>0</v>
      </c>
      <c r="G21" s="3" t="s">
        <v>128</v>
      </c>
      <c r="H21" s="20">
        <f>H20*1.25</f>
        <v>0</v>
      </c>
    </row>
    <row r="23" spans="2:8" ht="19.5" customHeight="1" x14ac:dyDescent="0.2">
      <c r="B23" s="97" t="s">
        <v>129</v>
      </c>
      <c r="C23" s="97"/>
      <c r="D23" s="97"/>
      <c r="E23" s="97"/>
      <c r="G23" s="91" t="s">
        <v>130</v>
      </c>
      <c r="H23" s="91"/>
    </row>
    <row r="24" spans="2:8" ht="15.75" customHeight="1" x14ac:dyDescent="0.2">
      <c r="B24" s="2" t="s">
        <v>194</v>
      </c>
      <c r="C24" s="41"/>
      <c r="D24" s="41"/>
      <c r="E24" s="14">
        <f t="shared" ref="E24:E29" si="1">C24*D24</f>
        <v>0</v>
      </c>
      <c r="G24" s="2" t="s">
        <v>133</v>
      </c>
      <c r="H24" s="41"/>
    </row>
    <row r="25" spans="2:8" ht="15.75" customHeight="1" x14ac:dyDescent="0.2">
      <c r="B25" s="3" t="s">
        <v>42</v>
      </c>
      <c r="C25" s="42"/>
      <c r="D25" s="42"/>
      <c r="E25" s="20">
        <f t="shared" si="1"/>
        <v>0</v>
      </c>
      <c r="G25" s="57" t="s">
        <v>134</v>
      </c>
      <c r="H25" s="14">
        <f>H20*H24</f>
        <v>0</v>
      </c>
    </row>
    <row r="26" spans="2:8" ht="15.75" customHeight="1" x14ac:dyDescent="0.2">
      <c r="B26" s="2" t="s">
        <v>135</v>
      </c>
      <c r="C26" s="41"/>
      <c r="D26" s="41"/>
      <c r="E26" s="14">
        <f t="shared" si="1"/>
        <v>0</v>
      </c>
      <c r="G26" s="3" t="s">
        <v>136</v>
      </c>
      <c r="H26" s="42"/>
    </row>
    <row r="27" spans="2:8" ht="15.75" customHeight="1" x14ac:dyDescent="0.2">
      <c r="B27" s="3" t="s">
        <v>41</v>
      </c>
      <c r="C27" s="42"/>
      <c r="D27" s="42"/>
      <c r="E27" s="20">
        <f t="shared" si="1"/>
        <v>0</v>
      </c>
      <c r="G27" s="56" t="s">
        <v>138</v>
      </c>
      <c r="H27" s="20">
        <f>H21*H26</f>
        <v>0</v>
      </c>
    </row>
    <row r="28" spans="2:8" ht="18.75" customHeight="1" x14ac:dyDescent="0.2">
      <c r="B28" s="2" t="s">
        <v>44</v>
      </c>
      <c r="C28" s="41"/>
      <c r="D28" s="41"/>
      <c r="E28" s="14">
        <f t="shared" si="1"/>
        <v>0</v>
      </c>
      <c r="G28" s="43" t="s">
        <v>139</v>
      </c>
      <c r="H28" s="45">
        <f>H25+H27</f>
        <v>0</v>
      </c>
    </row>
    <row r="29" spans="2:8" ht="15.75" customHeight="1" x14ac:dyDescent="0.2">
      <c r="B29" s="3" t="s">
        <v>44</v>
      </c>
      <c r="C29" s="42"/>
      <c r="D29" s="42"/>
      <c r="E29" s="20">
        <f t="shared" si="1"/>
        <v>0</v>
      </c>
    </row>
    <row r="30" spans="2:8" ht="19.5" customHeight="1" x14ac:dyDescent="0.2">
      <c r="B30" s="43" t="s">
        <v>140</v>
      </c>
      <c r="C30" s="44"/>
      <c r="D30" s="44"/>
      <c r="E30" s="45">
        <f>SUM(E24:E29)</f>
        <v>0</v>
      </c>
      <c r="G30" s="91" t="s">
        <v>141</v>
      </c>
      <c r="H30" s="91"/>
    </row>
    <row r="31" spans="2:8" ht="13.5" customHeight="1" x14ac:dyDescent="0.2">
      <c r="B31" s="46" t="s">
        <v>46</v>
      </c>
      <c r="C31" s="47"/>
      <c r="D31" s="47"/>
      <c r="E31" s="14">
        <f>E2*(E24+E25+E26+E27)</f>
        <v>0</v>
      </c>
      <c r="G31" s="2" t="s">
        <v>142</v>
      </c>
      <c r="H31" s="14">
        <f>0.16*H28</f>
        <v>0</v>
      </c>
    </row>
    <row r="32" spans="2:8" ht="13.5" customHeight="1" x14ac:dyDescent="0.2">
      <c r="B32" s="4" t="s">
        <v>47</v>
      </c>
      <c r="C32" s="48"/>
      <c r="D32" s="48"/>
      <c r="E32" s="20">
        <f>E3*(E28+E29)</f>
        <v>0</v>
      </c>
      <c r="G32" s="3" t="s">
        <v>143</v>
      </c>
      <c r="H32" s="42"/>
    </row>
    <row r="33" spans="2:8" ht="15.75" customHeight="1" x14ac:dyDescent="0.2">
      <c r="B33" s="43" t="s">
        <v>48</v>
      </c>
      <c r="C33" s="44"/>
      <c r="D33" s="44"/>
      <c r="E33" s="45">
        <f>E30+E31+E32</f>
        <v>0</v>
      </c>
      <c r="G33" s="2" t="s">
        <v>144</v>
      </c>
      <c r="H33" s="41"/>
    </row>
    <row r="34" spans="2:8" ht="18.75" customHeight="1" x14ac:dyDescent="0.2">
      <c r="G34" s="43" t="s">
        <v>145</v>
      </c>
      <c r="H34" s="45">
        <f>SUM(H31:H33)</f>
        <v>0</v>
      </c>
    </row>
    <row r="35" spans="2:8" ht="18.75" customHeight="1" x14ac:dyDescent="0.2">
      <c r="B35" s="97" t="s">
        <v>146</v>
      </c>
      <c r="C35" s="97"/>
      <c r="D35" s="97"/>
      <c r="E35" s="97"/>
      <c r="G35" s="43" t="s">
        <v>147</v>
      </c>
      <c r="H35" s="45">
        <f>H28-H34</f>
        <v>0</v>
      </c>
    </row>
    <row r="36" spans="2:8" ht="15.75" customHeight="1" x14ac:dyDescent="0.2">
      <c r="B36" s="2" t="s">
        <v>148</v>
      </c>
      <c r="C36" s="41"/>
      <c r="D36" s="41"/>
      <c r="E36" s="14">
        <f t="shared" ref="E36:E42" si="2">C36*D36</f>
        <v>0</v>
      </c>
    </row>
    <row r="37" spans="2:8" ht="19.5" customHeight="1" x14ac:dyDescent="0.2">
      <c r="B37" s="3" t="s">
        <v>149</v>
      </c>
      <c r="C37" s="42"/>
      <c r="D37" s="42"/>
      <c r="E37" s="20">
        <f t="shared" si="2"/>
        <v>0</v>
      </c>
      <c r="G37" s="91" t="s">
        <v>150</v>
      </c>
      <c r="H37" s="91"/>
    </row>
    <row r="38" spans="2:8" ht="15.75" customHeight="1" x14ac:dyDescent="0.2">
      <c r="B38" s="2" t="s">
        <v>151</v>
      </c>
      <c r="C38" s="41"/>
      <c r="D38" s="41"/>
      <c r="E38" s="14">
        <f t="shared" si="2"/>
        <v>0</v>
      </c>
      <c r="G38" s="2" t="s">
        <v>95</v>
      </c>
      <c r="H38" s="41"/>
    </row>
    <row r="39" spans="2:8" ht="15.75" customHeight="1" x14ac:dyDescent="0.2">
      <c r="B39" s="3" t="s">
        <v>153</v>
      </c>
      <c r="C39" s="42"/>
      <c r="D39" s="42"/>
      <c r="E39" s="20">
        <f t="shared" si="2"/>
        <v>0</v>
      </c>
      <c r="G39" s="3" t="s">
        <v>152</v>
      </c>
      <c r="H39" s="42"/>
    </row>
    <row r="40" spans="2:8" ht="18.75" customHeight="1" x14ac:dyDescent="0.2">
      <c r="B40" s="2" t="s">
        <v>154</v>
      </c>
      <c r="C40" s="41"/>
      <c r="D40" s="41"/>
      <c r="E40" s="14">
        <f t="shared" si="2"/>
        <v>0</v>
      </c>
      <c r="G40" s="43" t="s">
        <v>155</v>
      </c>
      <c r="H40" s="45">
        <f>H38+H39</f>
        <v>0</v>
      </c>
    </row>
    <row r="41" spans="2:8" ht="15.75" customHeight="1" x14ac:dyDescent="0.2">
      <c r="B41" s="3" t="s">
        <v>156</v>
      </c>
      <c r="C41" s="42"/>
      <c r="D41" s="42"/>
      <c r="E41" s="20">
        <f t="shared" si="2"/>
        <v>0</v>
      </c>
    </row>
    <row r="42" spans="2:8" ht="19.5" customHeight="1" x14ac:dyDescent="0.2">
      <c r="B42" s="2" t="s">
        <v>69</v>
      </c>
      <c r="C42" s="41"/>
      <c r="D42" s="41"/>
      <c r="E42" s="14">
        <f t="shared" si="2"/>
        <v>0</v>
      </c>
      <c r="G42" s="91" t="s">
        <v>157</v>
      </c>
      <c r="H42" s="91"/>
    </row>
    <row r="43" spans="2:8" ht="15.75" customHeight="1" x14ac:dyDescent="0.2">
      <c r="B43" s="43" t="s">
        <v>158</v>
      </c>
      <c r="C43" s="44"/>
      <c r="D43" s="44"/>
      <c r="E43" s="45">
        <f>SUM(E36:E42)</f>
        <v>0</v>
      </c>
      <c r="G43" s="2" t="s">
        <v>159</v>
      </c>
      <c r="H43" s="14">
        <f>E4*(H35+H40)</f>
        <v>0</v>
      </c>
    </row>
    <row r="44" spans="2:8" ht="15.75" customHeight="1" x14ac:dyDescent="0.2">
      <c r="G44" s="3" t="s">
        <v>160</v>
      </c>
      <c r="H44" s="20">
        <f>E5*H35</f>
        <v>0</v>
      </c>
    </row>
    <row r="45" spans="2:8" ht="19.5" customHeight="1" x14ac:dyDescent="0.2">
      <c r="B45" s="97" t="s">
        <v>161</v>
      </c>
      <c r="C45" s="97"/>
      <c r="D45" s="97"/>
      <c r="E45" s="97"/>
    </row>
    <row r="46" spans="2:8" ht="19.5" customHeight="1" x14ac:dyDescent="0.2">
      <c r="B46" s="2" t="s">
        <v>162</v>
      </c>
      <c r="C46" s="41"/>
      <c r="D46" s="41"/>
      <c r="E46" s="14">
        <f t="shared" ref="E46:E53" si="3">C46*D46</f>
        <v>0</v>
      </c>
      <c r="G46" s="97" t="s">
        <v>163</v>
      </c>
      <c r="H46" s="97"/>
    </row>
    <row r="47" spans="2:8" ht="15.75" customHeight="1" x14ac:dyDescent="0.2">
      <c r="B47" s="3" t="s">
        <v>164</v>
      </c>
      <c r="C47" s="42"/>
      <c r="D47" s="42"/>
      <c r="E47" s="20">
        <f t="shared" si="3"/>
        <v>0</v>
      </c>
      <c r="G47" s="3" t="s">
        <v>165</v>
      </c>
      <c r="H47" s="85" t="str">
        <f>IFERROR(ROUND(E69/((H35)/(H24+H26+1)),0),"fill ticket data")</f>
        <v>fill ticket data</v>
      </c>
    </row>
    <row r="48" spans="2:8" ht="15.75" customHeight="1" x14ac:dyDescent="0.2">
      <c r="B48" s="2" t="s">
        <v>166</v>
      </c>
      <c r="C48" s="41"/>
      <c r="D48" s="41"/>
      <c r="E48" s="14">
        <f t="shared" si="3"/>
        <v>0</v>
      </c>
      <c r="G48" s="2" t="s">
        <v>167</v>
      </c>
      <c r="H48" s="60" t="str">
        <f>IFERROR(ROUND(E69/((H35)/(H24+H26+1))/H14,3),"fill data")</f>
        <v>fill data</v>
      </c>
    </row>
    <row r="49" spans="2:8" ht="15.75" customHeight="1" x14ac:dyDescent="0.2">
      <c r="B49" s="3" t="s">
        <v>168</v>
      </c>
      <c r="C49" s="42"/>
      <c r="D49" s="42"/>
      <c r="E49" s="20">
        <f t="shared" si="3"/>
        <v>0</v>
      </c>
    </row>
    <row r="50" spans="2:8" ht="19.5" customHeight="1" x14ac:dyDescent="0.2">
      <c r="B50" s="2" t="s">
        <v>169</v>
      </c>
      <c r="C50" s="41"/>
      <c r="D50" s="41"/>
      <c r="E50" s="14">
        <f t="shared" si="3"/>
        <v>0</v>
      </c>
      <c r="G50" s="91" t="s">
        <v>170</v>
      </c>
      <c r="H50" s="91"/>
    </row>
    <row r="51" spans="2:8" ht="19.5" customHeight="1" x14ac:dyDescent="0.2">
      <c r="B51" s="3" t="s">
        <v>256</v>
      </c>
      <c r="C51" s="42"/>
      <c r="D51" s="42"/>
      <c r="E51" s="20">
        <f t="shared" si="3"/>
        <v>0</v>
      </c>
      <c r="G51" s="26" t="s">
        <v>257</v>
      </c>
      <c r="H51" s="26" t="s">
        <v>175</v>
      </c>
    </row>
    <row r="52" spans="2:8" ht="12.75" customHeight="1" x14ac:dyDescent="0.2">
      <c r="B52" s="2" t="s">
        <v>258</v>
      </c>
      <c r="C52" s="41"/>
      <c r="D52" s="41"/>
      <c r="E52" s="14">
        <f t="shared" si="3"/>
        <v>0</v>
      </c>
      <c r="G52" s="86" t="s">
        <v>259</v>
      </c>
    </row>
    <row r="53" spans="2:8" ht="15.75" customHeight="1" x14ac:dyDescent="0.2">
      <c r="B53" s="3" t="s">
        <v>260</v>
      </c>
      <c r="C53" s="42"/>
      <c r="D53" s="42"/>
      <c r="E53" s="20">
        <f t="shared" si="3"/>
        <v>0</v>
      </c>
      <c r="G53" s="87" t="s">
        <v>231</v>
      </c>
      <c r="H53" s="41"/>
    </row>
    <row r="54" spans="2:8" ht="15.75" customHeight="1" x14ac:dyDescent="0.2">
      <c r="B54" s="43" t="s">
        <v>171</v>
      </c>
      <c r="C54" s="44"/>
      <c r="D54" s="44"/>
      <c r="E54" s="45">
        <f>SUM(E46:E53)</f>
        <v>0</v>
      </c>
      <c r="G54" s="88" t="s">
        <v>232</v>
      </c>
      <c r="H54" s="42"/>
    </row>
    <row r="55" spans="2:8" ht="15.75" customHeight="1" x14ac:dyDescent="0.2">
      <c r="G55" s="87" t="s">
        <v>233</v>
      </c>
      <c r="H55" s="41"/>
    </row>
    <row r="56" spans="2:8" ht="15.75" customHeight="1" x14ac:dyDescent="0.2">
      <c r="B56" s="97" t="s">
        <v>177</v>
      </c>
      <c r="C56" s="97"/>
      <c r="D56" s="97"/>
      <c r="E56" s="97"/>
      <c r="G56" s="88" t="s">
        <v>234</v>
      </c>
      <c r="H56" s="42"/>
    </row>
    <row r="57" spans="2:8" ht="18.75" customHeight="1" x14ac:dyDescent="0.2">
      <c r="B57" s="2" t="s">
        <v>261</v>
      </c>
      <c r="C57" s="41"/>
      <c r="D57" s="41"/>
      <c r="E57" s="14">
        <f t="shared" ref="E57:E64" si="4">C57*D57</f>
        <v>0</v>
      </c>
      <c r="G57" s="43" t="s">
        <v>183</v>
      </c>
      <c r="H57" s="45">
        <f>SUM(H53:H56)</f>
        <v>0</v>
      </c>
    </row>
    <row r="58" spans="2:8" ht="15.75" customHeight="1" x14ac:dyDescent="0.2">
      <c r="B58" s="3" t="s">
        <v>262</v>
      </c>
      <c r="C58" s="42"/>
      <c r="D58" s="42"/>
      <c r="E58" s="20">
        <f t="shared" si="4"/>
        <v>0</v>
      </c>
    </row>
    <row r="59" spans="2:8" ht="27.75" customHeight="1" x14ac:dyDescent="0.2">
      <c r="B59" s="2" t="s">
        <v>55</v>
      </c>
      <c r="C59" s="41"/>
      <c r="D59" s="41"/>
      <c r="E59" s="14">
        <f t="shared" si="4"/>
        <v>0</v>
      </c>
      <c r="G59" s="1" t="s">
        <v>185</v>
      </c>
      <c r="H59" s="49">
        <f>H35+H40+H57-H43-H44-E69</f>
        <v>0</v>
      </c>
    </row>
    <row r="60" spans="2:8" ht="15.75" customHeight="1" x14ac:dyDescent="0.2">
      <c r="B60" s="3" t="s">
        <v>263</v>
      </c>
      <c r="C60" s="42"/>
      <c r="D60" s="42"/>
      <c r="E60" s="20">
        <f t="shared" si="4"/>
        <v>0</v>
      </c>
    </row>
    <row r="61" spans="2:8" ht="15.75" customHeight="1" x14ac:dyDescent="0.2">
      <c r="B61" s="2" t="s">
        <v>264</v>
      </c>
      <c r="C61" s="41"/>
      <c r="D61" s="41"/>
      <c r="E61" s="14">
        <f t="shared" si="4"/>
        <v>0</v>
      </c>
    </row>
    <row r="62" spans="2:8" ht="15.75" customHeight="1" x14ac:dyDescent="0.2">
      <c r="B62" s="3" t="s">
        <v>265</v>
      </c>
      <c r="C62" s="42"/>
      <c r="D62" s="42"/>
      <c r="E62" s="20">
        <f t="shared" si="4"/>
        <v>0</v>
      </c>
    </row>
    <row r="63" spans="2:8" ht="15.75" customHeight="1" x14ac:dyDescent="0.2">
      <c r="B63" s="2" t="s">
        <v>266</v>
      </c>
      <c r="C63" s="41"/>
      <c r="D63" s="41"/>
      <c r="E63" s="14">
        <f t="shared" si="4"/>
        <v>0</v>
      </c>
    </row>
    <row r="64" spans="2:8" ht="15.75" customHeight="1" x14ac:dyDescent="0.2">
      <c r="B64" s="3" t="s">
        <v>69</v>
      </c>
      <c r="C64" s="42"/>
      <c r="D64" s="42"/>
      <c r="E64" s="20">
        <f t="shared" si="4"/>
        <v>0</v>
      </c>
    </row>
    <row r="65" spans="2:5" ht="18.75" customHeight="1" x14ac:dyDescent="0.2">
      <c r="B65" s="43" t="s">
        <v>186</v>
      </c>
      <c r="C65" s="44"/>
      <c r="D65" s="44"/>
      <c r="E65" s="45">
        <f>SUM(E57:E64)</f>
        <v>0</v>
      </c>
    </row>
    <row r="67" spans="2:5" ht="6" customHeight="1" x14ac:dyDescent="0.2">
      <c r="B67" s="25"/>
      <c r="C67" s="25"/>
      <c r="D67" s="25"/>
      <c r="E67" s="25"/>
    </row>
    <row r="69" spans="2:5" ht="24" customHeight="1" x14ac:dyDescent="0.2">
      <c r="B69" s="98" t="s">
        <v>188</v>
      </c>
      <c r="C69" s="98"/>
      <c r="D69" s="98"/>
      <c r="E69" s="49">
        <f>E21+E33+E43+E54+E65</f>
        <v>0</v>
      </c>
    </row>
  </sheetData>
  <mergeCells count="19">
    <mergeCell ref="B1:H1"/>
    <mergeCell ref="B2:D2"/>
    <mergeCell ref="B3:D3"/>
    <mergeCell ref="B4:D4"/>
    <mergeCell ref="B5:D5"/>
    <mergeCell ref="G13:H13"/>
    <mergeCell ref="B14:E14"/>
    <mergeCell ref="G19:H19"/>
    <mergeCell ref="B23:E23"/>
    <mergeCell ref="G23:H23"/>
    <mergeCell ref="G46:H46"/>
    <mergeCell ref="G50:H50"/>
    <mergeCell ref="B56:E56"/>
    <mergeCell ref="B69:D69"/>
    <mergeCell ref="G30:H30"/>
    <mergeCell ref="B35:E35"/>
    <mergeCell ref="G37:H37"/>
    <mergeCell ref="G42:H42"/>
    <mergeCell ref="B45:E4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</vt:lpstr>
      <vt:lpstr>Pre-Production</vt:lpstr>
      <vt:lpstr>Release Show</vt:lpstr>
      <vt:lpstr>Regional Tour</vt:lpstr>
      <vt:lpstr>International Tour</vt:lpstr>
      <vt:lpstr>Major Show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habib achour</cp:lastModifiedBy>
  <cp:revision>0</cp:revision>
  <dcterms:created xsi:type="dcterms:W3CDTF">2026-05-12T19:46:38Z</dcterms:created>
  <dcterms:modified xsi:type="dcterms:W3CDTF">2026-05-24T08:14:20Z</dcterms:modified>
  <dc:language>en-US</dc:language>
</cp:coreProperties>
</file>